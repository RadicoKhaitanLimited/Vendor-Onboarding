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kSharma\OneDrive - Radico Khaitan Ltd\Documents\"/>
    </mc:Choice>
  </mc:AlternateContent>
  <xr:revisionPtr revIDLastSave="0" documentId="13_ncr:1_{2599AC34-FF02-4F7A-8938-22114021FA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dor Creation Format" sheetId="1" r:id="rId1"/>
    <sheet name="Vendor Extension Format" sheetId="7" r:id="rId2"/>
    <sheet name="Vendor Details" sheetId="5" r:id="rId3"/>
    <sheet name="TDS CONV. MASTER" sheetId="8" r:id="rId4"/>
    <sheet name="Vendor Series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E29" i="1" l="1"/>
  <c r="E15" i="1"/>
  <c r="E12" i="1"/>
  <c r="E20" i="1"/>
  <c r="E24" i="1"/>
  <c r="E25" i="1"/>
  <c r="E28" i="1"/>
  <c r="E27" i="1"/>
  <c r="E26" i="1"/>
  <c r="E37" i="1"/>
  <c r="E22" i="1"/>
  <c r="E19" i="1" a="1"/>
  <c r="E19" i="1" s="1"/>
  <c r="E10" i="1"/>
  <c r="E9" i="1"/>
  <c r="E8" i="1"/>
  <c r="E6" i="1"/>
  <c r="E5" i="1"/>
  <c r="D38" i="1"/>
  <c r="E38" i="1" s="1"/>
  <c r="D32" i="1"/>
  <c r="E34" i="1" s="1"/>
  <c r="D21" i="1"/>
  <c r="E4" i="1"/>
  <c r="E36" i="1"/>
  <c r="E3" i="1"/>
  <c r="E7" i="1" l="1"/>
  <c r="E13" i="1" l="1"/>
  <c r="E21" i="1" l="1"/>
  <c r="E11" i="1" l="1"/>
  <c r="D31" i="1" l="1"/>
  <c r="E31" i="1" s="1"/>
  <c r="D30" i="1"/>
  <c r="E14" i="1"/>
  <c r="E30" i="1" l="1"/>
  <c r="E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<sst xmlns="http://schemas.openxmlformats.org/spreadsheetml/2006/main" count="2104" uniqueCount="919">
  <si>
    <t>Particulars/Rules</t>
  </si>
  <si>
    <t>Details of Vendor1</t>
  </si>
  <si>
    <t>Description</t>
  </si>
  <si>
    <t>S. No.</t>
  </si>
  <si>
    <t>REF_LIFNR</t>
  </si>
  <si>
    <t>AKONT</t>
  </si>
  <si>
    <t>BUKRS</t>
  </si>
  <si>
    <t>R001</t>
  </si>
  <si>
    <t>EKORG</t>
  </si>
  <si>
    <t>R003</t>
  </si>
  <si>
    <t>NAME1</t>
  </si>
  <si>
    <t>NAME2</t>
  </si>
  <si>
    <t>Name of vendor (Balance Letters)</t>
  </si>
  <si>
    <t>STREET</t>
  </si>
  <si>
    <t>STR_SUPPL3</t>
  </si>
  <si>
    <t>AddressLine2 Max 40 letters Optional</t>
  </si>
  <si>
    <t>LOCATION</t>
  </si>
  <si>
    <t>Address line3 Max 40 letters Optional</t>
  </si>
  <si>
    <t>CITY1</t>
  </si>
  <si>
    <t>POST_CODE1</t>
  </si>
  <si>
    <t>CITY2</t>
  </si>
  <si>
    <t>Krishna</t>
  </si>
  <si>
    <t>REGION</t>
  </si>
  <si>
    <t>DEL</t>
  </si>
  <si>
    <t>AP</t>
  </si>
  <si>
    <t>TEL_NUMBER</t>
  </si>
  <si>
    <t>Mobile No. (Optional)</t>
  </si>
  <si>
    <t>MOB_NUMBER</t>
  </si>
  <si>
    <t>Mobile/Landline (Optional)</t>
  </si>
  <si>
    <t>SMTP_ADDR</t>
  </si>
  <si>
    <t>Email id (Optional)</t>
  </si>
  <si>
    <t>SMTP_ADDR_01</t>
  </si>
  <si>
    <t>second Email id (Optional)</t>
  </si>
  <si>
    <t>STCD3</t>
  </si>
  <si>
    <t>SORT1</t>
  </si>
  <si>
    <t>SORT2</t>
  </si>
  <si>
    <t>ENGG GOODS</t>
  </si>
  <si>
    <t>VEN_CLASS</t>
  </si>
  <si>
    <t>0027</t>
  </si>
  <si>
    <t>STCD1</t>
  </si>
  <si>
    <t>IQ</t>
  </si>
  <si>
    <t>MINDK</t>
  </si>
  <si>
    <t>MSE</t>
  </si>
  <si>
    <t>CERDT</t>
  </si>
  <si>
    <t>ZTERM</t>
  </si>
  <si>
    <t>0001</t>
  </si>
  <si>
    <t>MNA</t>
  </si>
  <si>
    <t>WITHT_01</t>
  </si>
  <si>
    <t>WT_SUBJCT_01</t>
  </si>
  <si>
    <t>MSME Date</t>
  </si>
  <si>
    <t>QSREC_01</t>
  </si>
  <si>
    <t>BANKN_01</t>
  </si>
  <si>
    <t>KOINH_01</t>
  </si>
  <si>
    <t>BKREF_01</t>
  </si>
  <si>
    <t>Reference Vendor</t>
  </si>
  <si>
    <t>For vendor series and GL selection</t>
  </si>
  <si>
    <t>MSME CODE</t>
  </si>
  <si>
    <t>MSME DESCRIPTION</t>
  </si>
  <si>
    <t>MME</t>
  </si>
  <si>
    <t>MSM</t>
  </si>
  <si>
    <t>Desc</t>
  </si>
  <si>
    <t>Pay Terms</t>
  </si>
  <si>
    <t>0033</t>
  </si>
  <si>
    <t xml:space="preserve">15 DAYS CREDIT  </t>
  </si>
  <si>
    <t>0039</t>
  </si>
  <si>
    <t xml:space="preserve">20 DAYS CREDIT </t>
  </si>
  <si>
    <t xml:space="preserve">30 DAYS CREDIT </t>
  </si>
  <si>
    <t>0025</t>
  </si>
  <si>
    <t xml:space="preserve">45 DAYS CREDIT   </t>
  </si>
  <si>
    <t>0020</t>
  </si>
  <si>
    <t xml:space="preserve">60 DAYS CREDIT   </t>
  </si>
  <si>
    <t>0012</t>
  </si>
  <si>
    <t>ADVANCE</t>
  </si>
  <si>
    <t>IMMEDIATE</t>
  </si>
  <si>
    <t>0031</t>
  </si>
  <si>
    <t xml:space="preserve">WITHIN 7 DAYS </t>
  </si>
  <si>
    <t>Search Term</t>
  </si>
  <si>
    <t>Applicable For(For quick search)</t>
  </si>
  <si>
    <t>BTL OLD</t>
  </si>
  <si>
    <t>FOR OLD BOTTLE VENDORS</t>
  </si>
  <si>
    <t>BTL NEW</t>
  </si>
  <si>
    <t>FOR NEW BOTTLE VENDORS</t>
  </si>
  <si>
    <t>BTL PET</t>
  </si>
  <si>
    <t>FOR PET BOTTLE VENDORS</t>
  </si>
  <si>
    <t>LABEL</t>
  </si>
  <si>
    <t>FOR LABEL VENDORS</t>
  </si>
  <si>
    <t>CC BOX</t>
  </si>
  <si>
    <t>FOR CC BOX SUPPLIER</t>
  </si>
  <si>
    <t>MONOCARTON</t>
  </si>
  <si>
    <t>FOR MONOCARTON VENDOR</t>
  </si>
  <si>
    <t>CAPEX</t>
  </si>
  <si>
    <t>FOR CAPITAL MATERIAL VENDORS</t>
  </si>
  <si>
    <t>CAPS</t>
  </si>
  <si>
    <t>CAP AND GUALA VENDOR</t>
  </si>
  <si>
    <t>TRANSPORTER</t>
  </si>
  <si>
    <t>FOR ANY KIND OF TRANSPORTER</t>
  </si>
  <si>
    <t>FROSTER</t>
  </si>
  <si>
    <t>FROSTING VENDORS</t>
  </si>
  <si>
    <t>PM</t>
  </si>
  <si>
    <t>ENA</t>
  </si>
  <si>
    <t>ENA VENDOR</t>
  </si>
  <si>
    <t>RM</t>
  </si>
  <si>
    <t>OTHER RM VENDORS</t>
  </si>
  <si>
    <t>FOR ENGINEERING GOODS VENDORS</t>
  </si>
  <si>
    <t>FI VENDOR</t>
  </si>
  <si>
    <t>OTHER FI RELATED EXPENSES</t>
  </si>
  <si>
    <t>FI EMPLOYEE</t>
  </si>
  <si>
    <t>FOR EMPLOYEES AS VENDOR CODE</t>
  </si>
  <si>
    <t>PROMO ITEM</t>
  </si>
  <si>
    <t>PROMOTIONAL ITEM SUPPLIERS</t>
  </si>
  <si>
    <t>COMMISSION</t>
  </si>
  <si>
    <t>FOR COMMISSION/BROKERAGE CHARGES</t>
  </si>
  <si>
    <t>PROFESSIONAL</t>
  </si>
  <si>
    <t>FOR PROFESSIONAL CHARGES</t>
  </si>
  <si>
    <t>STATE</t>
  </si>
  <si>
    <t>STATE CODE</t>
  </si>
  <si>
    <t>AN</t>
  </si>
  <si>
    <t>Andaman &amp; Nicobar</t>
  </si>
  <si>
    <t>Andhra Pradesh</t>
  </si>
  <si>
    <t>ARP</t>
  </si>
  <si>
    <t>Arunachal Pradesh</t>
  </si>
  <si>
    <t>AS</t>
  </si>
  <si>
    <t>Assam</t>
  </si>
  <si>
    <t>BH</t>
  </si>
  <si>
    <t>Bihar</t>
  </si>
  <si>
    <t>CD</t>
  </si>
  <si>
    <t>Chandigarh</t>
  </si>
  <si>
    <t>CH</t>
  </si>
  <si>
    <t>Chattisgarh</t>
  </si>
  <si>
    <t>DH</t>
  </si>
  <si>
    <t>Dadra, Nagarhaveli</t>
  </si>
  <si>
    <t>DD</t>
  </si>
  <si>
    <t>Daman / Diu</t>
  </si>
  <si>
    <t>Delhi</t>
  </si>
  <si>
    <t>EXP</t>
  </si>
  <si>
    <t>EXPORT</t>
  </si>
  <si>
    <t>GDD</t>
  </si>
  <si>
    <t>Goa</t>
  </si>
  <si>
    <t>GJ</t>
  </si>
  <si>
    <t>Gujarat</t>
  </si>
  <si>
    <t>HR</t>
  </si>
  <si>
    <t>Haryana</t>
  </si>
  <si>
    <t>HP</t>
  </si>
  <si>
    <t>Himachal Pradesh</t>
  </si>
  <si>
    <t>JK</t>
  </si>
  <si>
    <t>Jammu &amp; Kashmir</t>
  </si>
  <si>
    <t>JH</t>
  </si>
  <si>
    <t>Jharkhand</t>
  </si>
  <si>
    <t>KAR</t>
  </si>
  <si>
    <t>Karnataka</t>
  </si>
  <si>
    <t>KER</t>
  </si>
  <si>
    <t>Kerala</t>
  </si>
  <si>
    <t>LAK</t>
  </si>
  <si>
    <t>Lakshwadeep</t>
  </si>
  <si>
    <t>MP</t>
  </si>
  <si>
    <t>Madhya Pradesh</t>
  </si>
  <si>
    <t>MAH</t>
  </si>
  <si>
    <t>Maharashtra</t>
  </si>
  <si>
    <t>MG</t>
  </si>
  <si>
    <t>Megalaya</t>
  </si>
  <si>
    <t>MZ</t>
  </si>
  <si>
    <t>Mizoram</t>
  </si>
  <si>
    <t>NG</t>
  </si>
  <si>
    <t>Nagaland</t>
  </si>
  <si>
    <t>OR</t>
  </si>
  <si>
    <t>Orissa</t>
  </si>
  <si>
    <t>PY</t>
  </si>
  <si>
    <t>Pondicherry</t>
  </si>
  <si>
    <t>PB</t>
  </si>
  <si>
    <t>Punjab</t>
  </si>
  <si>
    <t>RJ</t>
  </si>
  <si>
    <t>Rajasthan</t>
  </si>
  <si>
    <t>SK</t>
  </si>
  <si>
    <t>Sikkim</t>
  </si>
  <si>
    <t>TG</t>
  </si>
  <si>
    <t>Telangana</t>
  </si>
  <si>
    <t>TN</t>
  </si>
  <si>
    <t>Tamil Nadu</t>
  </si>
  <si>
    <t>TP</t>
  </si>
  <si>
    <t>Tripura</t>
  </si>
  <si>
    <t>UT</t>
  </si>
  <si>
    <t>Uttaranchal</t>
  </si>
  <si>
    <t>UP</t>
  </si>
  <si>
    <t>Uttar Pradesh</t>
  </si>
  <si>
    <t>WB</t>
  </si>
  <si>
    <t>West Bengal</t>
  </si>
  <si>
    <t>I1</t>
  </si>
  <si>
    <t>TDS-194A-ON INTEREST-INDIVIDUAL-INV-10%</t>
  </si>
  <si>
    <t>I2</t>
  </si>
  <si>
    <t>TDS-194A-INTEREST-COMPANY/FIRM-INV-10%</t>
  </si>
  <si>
    <t>I3</t>
  </si>
  <si>
    <t>TDS-194C-TRANSPORTER.CONTRACTOR-COMPANY/FIRM-INV-2%</t>
  </si>
  <si>
    <t>I4</t>
  </si>
  <si>
    <t>TDS-194C-TRANSPORTER.CONTRACTOR-INDIVIDUAL-INV-1%</t>
  </si>
  <si>
    <t>I5</t>
  </si>
  <si>
    <t>TDS-194H-ON COMMISSION/BROERAGE INV-5%</t>
  </si>
  <si>
    <t>I6</t>
  </si>
  <si>
    <t>TDS-194IB RENT ON LAND &amp;BUILDING,FURNITURE&amp;FIXTURE-INDIVIDUAL-INV-10%</t>
  </si>
  <si>
    <t>I7</t>
  </si>
  <si>
    <t>TDS-194IB-RENT ON LAND &amp;BUILDING,FURNITURE&amp;FIXTURE-COMPANY/FIRM-INV-10%</t>
  </si>
  <si>
    <t>I8</t>
  </si>
  <si>
    <t>TDS-194J-PROFFESIONAL FEES-INV-10%</t>
  </si>
  <si>
    <t>I9</t>
  </si>
  <si>
    <t>TDS-194IA-RENT ON PLANT&amp;MACHINERY-INV-2%</t>
  </si>
  <si>
    <t>IA</t>
  </si>
  <si>
    <t>TDS-195-NRI-COMPANY-INV-10.3%</t>
  </si>
  <si>
    <t xml:space="preserve"> </t>
  </si>
  <si>
    <t>194Q for material or TDS for services is must</t>
  </si>
  <si>
    <t>TDS-194Q-GST MATERIAL @0.1%</t>
  </si>
  <si>
    <t>POrg</t>
  </si>
  <si>
    <t>Purch. Org. Descr.</t>
  </si>
  <si>
    <t>RADICO KHAITAN LTD-HO</t>
  </si>
  <si>
    <t>DELHI</t>
  </si>
  <si>
    <t>R002</t>
  </si>
  <si>
    <t>EXPORTS RAMPUR</t>
  </si>
  <si>
    <t>RADICO KHAITAN LIMITED, RAMPUR</t>
  </si>
  <si>
    <t>UTTAR PRADESH</t>
  </si>
  <si>
    <t>R004</t>
  </si>
  <si>
    <t>CMD RAMPUR</t>
  </si>
  <si>
    <t>R005</t>
  </si>
  <si>
    <t>DMD RAMPUR</t>
  </si>
  <si>
    <t>R006</t>
  </si>
  <si>
    <t>CL RAMPUR</t>
  </si>
  <si>
    <t>R007</t>
  </si>
  <si>
    <t>IBD DIVISION DELHI</t>
  </si>
  <si>
    <t>R008</t>
  </si>
  <si>
    <t>ALCHOHAL PLANT , RAMPUR</t>
  </si>
  <si>
    <t>RAMPUR</t>
  </si>
  <si>
    <t>R009</t>
  </si>
  <si>
    <t>RAMPUR GRAIN PLANT</t>
  </si>
  <si>
    <t>R013</t>
  </si>
  <si>
    <t>RAMPUR PRINTING PLANT</t>
  </si>
  <si>
    <t>R015</t>
  </si>
  <si>
    <t>MALT PLANT RAMPUR</t>
  </si>
  <si>
    <t>R016</t>
  </si>
  <si>
    <t>RADICO TIMMAPUR</t>
  </si>
  <si>
    <t>MAHABOOBNAGAR</t>
  </si>
  <si>
    <t>R017</t>
  </si>
  <si>
    <t>PRINTING UNIT BAHADURGARH</t>
  </si>
  <si>
    <t>BAHADURGARH</t>
  </si>
  <si>
    <t>R018</t>
  </si>
  <si>
    <t>DRDPL</t>
  </si>
  <si>
    <t>R019</t>
  </si>
  <si>
    <t>PET 1 PLANT</t>
  </si>
  <si>
    <t>BAZPUR-UDHAM SINGH NAGAR</t>
  </si>
  <si>
    <t>R020</t>
  </si>
  <si>
    <t>PET 2 PLANT</t>
  </si>
  <si>
    <t>R021</t>
  </si>
  <si>
    <t>BAZPUR BOTTLING PLANT</t>
  </si>
  <si>
    <t>R022</t>
  </si>
  <si>
    <t>RADICO POLSONS</t>
  </si>
  <si>
    <t>TRISSUR</t>
  </si>
  <si>
    <t>R023</t>
  </si>
  <si>
    <t>RADICO KHAITAN LTD-BADHOLI</t>
  </si>
  <si>
    <t>AMBALA</t>
  </si>
  <si>
    <t>R024</t>
  </si>
  <si>
    <t>RADICO KHAITAN LTD-YEZDI</t>
  </si>
  <si>
    <t>Mysore</t>
  </si>
  <si>
    <t>R025</t>
  </si>
  <si>
    <t>RADICO KHAITAN LTD-EMPEE</t>
  </si>
  <si>
    <t>Palakkad</t>
  </si>
  <si>
    <t>R026</t>
  </si>
  <si>
    <t>RKL-RAJASTHAN LIQUORS</t>
  </si>
  <si>
    <t>DERABASSI</t>
  </si>
  <si>
    <t>R027</t>
  </si>
  <si>
    <t>RKL-RHIZOME</t>
  </si>
  <si>
    <t>Medchal,Andhra Pradesh</t>
  </si>
  <si>
    <t>R028</t>
  </si>
  <si>
    <t>RKL-UNITED DISTILLERIES</t>
  </si>
  <si>
    <t>CALICUT</t>
  </si>
  <si>
    <t>R029</t>
  </si>
  <si>
    <t>RKL- RANA SUGARS LIMITED</t>
  </si>
  <si>
    <t>PATTI</t>
  </si>
  <si>
    <t>R030</t>
  </si>
  <si>
    <t>RKL-GWALIOR ALCOBREW PVT LTD</t>
  </si>
  <si>
    <t>GWALIOR</t>
  </si>
  <si>
    <t>R031</t>
  </si>
  <si>
    <t>RKL- SENTINI BEVERAGES PVT LTD</t>
  </si>
  <si>
    <t>HYDERABAD</t>
  </si>
  <si>
    <t>R032</t>
  </si>
  <si>
    <t>RKL- BRK SPIRITS</t>
  </si>
  <si>
    <t>R033</t>
  </si>
  <si>
    <t>RADICO KHAITAN LTD-NV</t>
  </si>
  <si>
    <t>Aurangabad</t>
  </si>
  <si>
    <t>R034</t>
  </si>
  <si>
    <t>RADICO KHAITAN LTD HYD</t>
  </si>
  <si>
    <t>R035</t>
  </si>
  <si>
    <t>RADICO KHAITAN LTD-RKDL HYD</t>
  </si>
  <si>
    <t>R036</t>
  </si>
  <si>
    <t>RAMPUR CIVIL PLANT</t>
  </si>
  <si>
    <t>R037</t>
  </si>
  <si>
    <t>CIVIL PRINTING UNIT BAHADURGARH</t>
  </si>
  <si>
    <t>R038</t>
  </si>
  <si>
    <t>RKL-S.P.Y. AGRO INDUSTRIES LIMITED</t>
  </si>
  <si>
    <t xml:space="preserve"> Udumalpuram (V),Nandyal Kurnool Dist</t>
  </si>
  <si>
    <t>R039</t>
  </si>
  <si>
    <t>RADICO KHAITAN LTD-RLL REENGUS</t>
  </si>
  <si>
    <t>R040</t>
  </si>
  <si>
    <t>RKL-Mohan Breweries and Distilleries Ltd</t>
  </si>
  <si>
    <t>Chittoor District</t>
  </si>
  <si>
    <t>R041</t>
  </si>
  <si>
    <t>RKL-BAGGA DISTILLERIES</t>
  </si>
  <si>
    <t>Shamshabad Mandal, R.R,Dist.Telangana</t>
  </si>
  <si>
    <t>R042</t>
  </si>
  <si>
    <t>RKL-PMK DISTILLATIONS PVT LTD</t>
  </si>
  <si>
    <t>Rangampeta Mandal, East Godavari Distric</t>
  </si>
  <si>
    <t>R043</t>
  </si>
  <si>
    <t>RADICO NV EXPORT PLANT</t>
  </si>
  <si>
    <t>AURANGABAD</t>
  </si>
  <si>
    <t>R044</t>
  </si>
  <si>
    <t>RADICO KHAITAN LIMITED–GOL, GAZIABAD</t>
  </si>
  <si>
    <t>Tehsil Modinagar,Ghaziabad,UP</t>
  </si>
  <si>
    <t>R045</t>
  </si>
  <si>
    <t>RKL- BDH AGRO VENTURES PVT LTD</t>
  </si>
  <si>
    <t>ANDHRA PRADESH</t>
  </si>
  <si>
    <t>R046</t>
  </si>
  <si>
    <t>RAMPUR SANITIZER PLANT</t>
  </si>
  <si>
    <t>R047</t>
  </si>
  <si>
    <t>CIVIL SANITIZER PLANT WB</t>
  </si>
  <si>
    <t>C/o-BENGAL WINES PVT. LTD,</t>
  </si>
  <si>
    <t>R048</t>
  </si>
  <si>
    <t>CIVIL SANITIZER PLANT TELANGANA</t>
  </si>
  <si>
    <t>R049</t>
  </si>
  <si>
    <t>RKL- Unique Liquors</t>
  </si>
  <si>
    <t>R050</t>
  </si>
  <si>
    <t>RKL-SOUTHERN AGRIFURANE INDUSTRIES P LTD</t>
  </si>
  <si>
    <t>Mdl, Ranga Reddy Dist., Telangana</t>
  </si>
  <si>
    <t>R051</t>
  </si>
  <si>
    <t>CIVIL SANITIZER PLANT RAMPUR</t>
  </si>
  <si>
    <t>R052</t>
  </si>
  <si>
    <t>South Travancore Distilleries</t>
  </si>
  <si>
    <t>Thiruvananthapuram</t>
  </si>
  <si>
    <t>R053</t>
  </si>
  <si>
    <t>Kalpatharu</t>
  </si>
  <si>
    <t>Village, Dabaspet,Nelamangala Tq,Bangalo</t>
  </si>
  <si>
    <t>R054</t>
  </si>
  <si>
    <t>Sanitizer,Bazpur</t>
  </si>
  <si>
    <t>R055</t>
  </si>
  <si>
    <t>EMPEE DISTILLERIES</t>
  </si>
  <si>
    <t>KOLAR DISTRICT</t>
  </si>
  <si>
    <t>R056</t>
  </si>
  <si>
    <t>Global bottlers</t>
  </si>
  <si>
    <t>Kunjpura, Karnal</t>
  </si>
  <si>
    <t>R057</t>
  </si>
  <si>
    <t>WOODPECKER</t>
  </si>
  <si>
    <t>Hassan, Karnataka</t>
  </si>
  <si>
    <t>R058</t>
  </si>
  <si>
    <t>KALS DISTILLERIES</t>
  </si>
  <si>
    <t>Avergare,Tumkur dist,  Karnataka</t>
  </si>
  <si>
    <t>R059</t>
  </si>
  <si>
    <t>BENGAL WINES</t>
  </si>
  <si>
    <t>Dankuni,Hooghly, West Bengal</t>
  </si>
  <si>
    <t>R060</t>
  </si>
  <si>
    <t>Tarangni Liquor</t>
  </si>
  <si>
    <t>RR01</t>
  </si>
  <si>
    <t>REENGUS DISTILLERY</t>
  </si>
  <si>
    <t>REENGUS</t>
  </si>
  <si>
    <t>R100</t>
  </si>
  <si>
    <t>SITAPUR OPERATIONS</t>
  </si>
  <si>
    <t>SITAPUR</t>
  </si>
  <si>
    <t>PM01</t>
  </si>
  <si>
    <t>MAH PUR.ORG.</t>
  </si>
  <si>
    <t>PM02</t>
  </si>
  <si>
    <t>WB PUR.ORG.</t>
  </si>
  <si>
    <t>PM03</t>
  </si>
  <si>
    <t>ASSAM PUR.ORG.</t>
  </si>
  <si>
    <t>PM04</t>
  </si>
  <si>
    <t>TG PUR ORG</t>
  </si>
  <si>
    <t>PM05</t>
  </si>
  <si>
    <t>PUR.ORG ASSAM</t>
  </si>
  <si>
    <t>PM06</t>
  </si>
  <si>
    <t>PUR.ORG ODHISA</t>
  </si>
  <si>
    <t>PM07</t>
  </si>
  <si>
    <t>PUR.ORG UP</t>
  </si>
  <si>
    <t>PM08</t>
  </si>
  <si>
    <t>PUR.ORG MEGHALAYA</t>
  </si>
  <si>
    <t>PM09</t>
  </si>
  <si>
    <t>PUR.ORG SIKKIM</t>
  </si>
  <si>
    <t>PM10</t>
  </si>
  <si>
    <t>PUR.ORG RANCHI</t>
  </si>
  <si>
    <t>PM11</t>
  </si>
  <si>
    <t>PUR.ORG PY</t>
  </si>
  <si>
    <t>PM12</t>
  </si>
  <si>
    <t>PUR.ORG TN</t>
  </si>
  <si>
    <t>PM13</t>
  </si>
  <si>
    <t>PUR.ORG MIZORAM</t>
  </si>
  <si>
    <t>PM14</t>
  </si>
  <si>
    <t>PUR.ORG KAR</t>
  </si>
  <si>
    <t>PM15</t>
  </si>
  <si>
    <t>PUR.ORG JHARKHAND</t>
  </si>
  <si>
    <t>PM16</t>
  </si>
  <si>
    <t>PUR.ORG PUNJAB</t>
  </si>
  <si>
    <t>PM17</t>
  </si>
  <si>
    <t>PUR.ORG HP</t>
  </si>
  <si>
    <t>PM18</t>
  </si>
  <si>
    <t>PUR.ORG J&amp;K</t>
  </si>
  <si>
    <t>PM19</t>
  </si>
  <si>
    <t>PUR.ORG HR</t>
  </si>
  <si>
    <t>PM20</t>
  </si>
  <si>
    <t>PUR.ORG RJ</t>
  </si>
  <si>
    <t>PM21</t>
  </si>
  <si>
    <t>PUR.ORG UT</t>
  </si>
  <si>
    <t>PM22</t>
  </si>
  <si>
    <t>PUR.ORG KERALA</t>
  </si>
  <si>
    <t>PM23</t>
  </si>
  <si>
    <t>PUR.ORG MP</t>
  </si>
  <si>
    <t>PM24</t>
  </si>
  <si>
    <t>PUR.ORG AP</t>
  </si>
  <si>
    <t>T001</t>
  </si>
  <si>
    <t>N V Disti.&amp; Brew. (P) Ltd DERABASSI, Patiala</t>
  </si>
  <si>
    <t>T002</t>
  </si>
  <si>
    <t>Gwalior Distilleries Ltd  GWALIOR</t>
  </si>
  <si>
    <t>T003</t>
  </si>
  <si>
    <t>Welcome Dist. Pvt. Ltd    Bilaspur</t>
  </si>
  <si>
    <t>T004</t>
  </si>
  <si>
    <t>Tilaknagar Industries Ltd Tilaknagar, Ahmednagar</t>
  </si>
  <si>
    <t>T005</t>
  </si>
  <si>
    <t>Gemini Distit(Goa) Pvt Lt Zuarinagar, Goa</t>
  </si>
  <si>
    <t>T006</t>
  </si>
  <si>
    <t>Kamal Wineries            Hyderabad</t>
  </si>
  <si>
    <t>T007</t>
  </si>
  <si>
    <t>Ravi Kumar Distiller. Ltd Pondicherry</t>
  </si>
  <si>
    <t>T008</t>
  </si>
  <si>
    <t>United Distilleries Ltd   Calicut</t>
  </si>
  <si>
    <t>T009</t>
  </si>
  <si>
    <t>BT &amp; FC (P) Ltd           Peenya, Banglore</t>
  </si>
  <si>
    <t>T010</t>
  </si>
  <si>
    <t>Bacchus Bottling Pvt.Ltd. Balasore, Orissa</t>
  </si>
  <si>
    <t>T011</t>
  </si>
  <si>
    <t>Goodhost Liquors Pvt. Ltd Begampur, Patna</t>
  </si>
  <si>
    <t>T012</t>
  </si>
  <si>
    <t>Ajantha Distilleries Ltd. Kamptee Rd., Nagpur</t>
  </si>
  <si>
    <t>T013</t>
  </si>
  <si>
    <t>IFB Agro Industries Ltd.  Kolkatta</t>
  </si>
  <si>
    <t>T014</t>
  </si>
  <si>
    <t>Seven Sister Trade Distil Guwahati (Assam)</t>
  </si>
  <si>
    <t>T015</t>
  </si>
  <si>
    <t>Patiala Dist.&amp; Mfrg Ltd.  Patiala, Punjab</t>
  </si>
  <si>
    <t>T016</t>
  </si>
  <si>
    <t>United Brothers Dist. Ltd NAHAR LAGUN</t>
  </si>
  <si>
    <t>T017</t>
  </si>
  <si>
    <t>RK DISTILLERY             104/A, YELLAMPET T.Q,MED</t>
  </si>
  <si>
    <t>T018</t>
  </si>
  <si>
    <t>Kapitan Distilleries      HYDERABAD</t>
  </si>
  <si>
    <t>T019</t>
  </si>
  <si>
    <t>Oakland Bottlers(P) Ltd.  JAMMU</t>
  </si>
  <si>
    <t>T020</t>
  </si>
  <si>
    <t>Sri Venkateshwara Dis.Ltd BANGLORE</t>
  </si>
  <si>
    <t>T021</t>
  </si>
  <si>
    <t>Silver Star Distillery    DAMAN</t>
  </si>
  <si>
    <t>T022</t>
  </si>
  <si>
    <t>Gemini(Jharkhand)         Jharkhand</t>
  </si>
  <si>
    <t>T023</t>
  </si>
  <si>
    <t>Devikolam Distilleries    KOCHI</t>
  </si>
  <si>
    <t>T024</t>
  </si>
  <si>
    <t>Anab-e-Shahi              HYDERABAD</t>
  </si>
  <si>
    <t>T025</t>
  </si>
  <si>
    <t>BhatiawineMerchantsPvtLtd Bilaspur</t>
  </si>
  <si>
    <t>T026</t>
  </si>
  <si>
    <t>WHYTE HALL LTD.           RAMPUR</t>
  </si>
  <si>
    <t>T027</t>
  </si>
  <si>
    <t>Gowthami  Agro Industries VANGURU (V) PEDAVEGI (M)</t>
  </si>
  <si>
    <t>T028</t>
  </si>
  <si>
    <t>Prashant Impex Pvt.Lt     Kolkatta</t>
  </si>
  <si>
    <t>T029</t>
  </si>
  <si>
    <t>Chitwan Blend.&amp; Bottl P.L Danapur, Patna</t>
  </si>
  <si>
    <t>T030</t>
  </si>
  <si>
    <t>Indo Assam Distil &amp; Bottl Guwahati (Assam)</t>
  </si>
  <si>
    <t>T031</t>
  </si>
  <si>
    <t>North East Bottling       Baridua(Meghalaya)</t>
  </si>
  <si>
    <t>T032</t>
  </si>
  <si>
    <t>BMSS Ltd                  Sreepur, Solapur, MAH</t>
  </si>
  <si>
    <t>T033</t>
  </si>
  <si>
    <t>NEW INDIA DISTILLERIES    SUJWAN, NAI BASTI,JAMMU</t>
  </si>
  <si>
    <t>T034</t>
  </si>
  <si>
    <t>RLPL, Derabasi            DERABASSI,mohali, Punjab</t>
  </si>
  <si>
    <t>T035</t>
  </si>
  <si>
    <t>Unnokoti Bottlg and Bevrg Tripura</t>
  </si>
  <si>
    <t>T036</t>
  </si>
  <si>
    <t>Apollo Alcobev Pvt. Ltd   Banglore</t>
  </si>
  <si>
    <t>T037</t>
  </si>
  <si>
    <t>Himalayan Gold Beverages  Nalagarh, HP</t>
  </si>
  <si>
    <t>T038</t>
  </si>
  <si>
    <t>RNVDML- TUU               AURANGABAD</t>
  </si>
  <si>
    <t>T039</t>
  </si>
  <si>
    <t>SouthernAgrifuraneIndPLtd Villupuram, Tamilnadu</t>
  </si>
  <si>
    <t>T040</t>
  </si>
  <si>
    <t>Diamond Bottling company  Boldi, Burdwan, WB</t>
  </si>
  <si>
    <t>T041</t>
  </si>
  <si>
    <t>Polson Distillery         Muringoor, Trissur, Keral</t>
  </si>
  <si>
    <t>T042</t>
  </si>
  <si>
    <t>Liquors India Ltd         Andhra pradesh</t>
  </si>
  <si>
    <t>T043</t>
  </si>
  <si>
    <t>SNJ Distillers Pvt Ltd    Kanchipuram, Tamilnadu</t>
  </si>
  <si>
    <t>T044</t>
  </si>
  <si>
    <t>Durga Liquor India Pvt Lt 615  Babukhan Estate, Hyd</t>
  </si>
  <si>
    <t>T045</t>
  </si>
  <si>
    <t>Nethravathi Dist. Pvt.Ltd BANGLORE</t>
  </si>
  <si>
    <t>T046</t>
  </si>
  <si>
    <t>GSB AND CO                Sundaraya pet</t>
  </si>
  <si>
    <t>T047</t>
  </si>
  <si>
    <t>Rajasthan Liquors Ltd.    DERABASSI</t>
  </si>
  <si>
    <t>T048</t>
  </si>
  <si>
    <t>Golden Vats Private Ltd   Karnavur</t>
  </si>
  <si>
    <t>T049</t>
  </si>
  <si>
    <t>BAGGA DISTILLERIES        HYDERABAD</t>
  </si>
  <si>
    <t>T050</t>
  </si>
  <si>
    <t>WALES DISTILLER PVT LTD   KALYANI</t>
  </si>
  <si>
    <t>T051</t>
  </si>
  <si>
    <t>KhodayIndustries(Hyd)PLtd HYDERABAD</t>
  </si>
  <si>
    <t>T052</t>
  </si>
  <si>
    <t>Khoday Inds( Kuppam)P Ltd KUPPAM</t>
  </si>
  <si>
    <t>T053</t>
  </si>
  <si>
    <t>Passion Beverages PvtLtd  HOOGLY</t>
  </si>
  <si>
    <t>T054</t>
  </si>
  <si>
    <t>MohanBreweries&amp;Dist Ltd   CHENNAI</t>
  </si>
  <si>
    <t>T055</t>
  </si>
  <si>
    <t>MohanBreweries&amp;Dist Ltd   CHITTOOR</t>
  </si>
  <si>
    <t>T056</t>
  </si>
  <si>
    <t>Kalpatharu Brew&amp;DistPLtd  BENGALORE</t>
  </si>
  <si>
    <t>T057</t>
  </si>
  <si>
    <t>SRILAB BREWERIES P LTD    Ranchi</t>
  </si>
  <si>
    <t>T058</t>
  </si>
  <si>
    <t>BENGAL WINES PRIVATE Ltd  Hoogly</t>
  </si>
  <si>
    <t>T059</t>
  </si>
  <si>
    <t>MDH BEVERAGES PVT LTD     SHILLONG</t>
  </si>
  <si>
    <t>T060</t>
  </si>
  <si>
    <t>GoldenPrinceWinesIndiaPLt KANTIGADIA</t>
  </si>
  <si>
    <t>T061</t>
  </si>
  <si>
    <t>KALS DIST CARNATAKA P LTD BANGLORE</t>
  </si>
  <si>
    <t>T062</t>
  </si>
  <si>
    <t>Sikkim Distilleries Ltd   RANGPO</t>
  </si>
  <si>
    <t>T063</t>
  </si>
  <si>
    <t>VINDESHWARI EXIM PVT LTD  Village Dadua</t>
  </si>
  <si>
    <t>T064</t>
  </si>
  <si>
    <t>WOODPECKER DIST&amp;BREW PLTD</t>
  </si>
  <si>
    <t>T065</t>
  </si>
  <si>
    <t>SIFARUH GRP OF INDUSTRIES,JH</t>
  </si>
  <si>
    <t>Company code</t>
  </si>
  <si>
    <t>Name</t>
  </si>
  <si>
    <t>Radico Khaitan Ltd</t>
  </si>
  <si>
    <t>Micro or A or D</t>
  </si>
  <si>
    <t>Small or B or E</t>
  </si>
  <si>
    <t>Medium or C or F</t>
  </si>
  <si>
    <t>District (Optional if different to city name)</t>
  </si>
  <si>
    <r>
      <rPr>
        <b/>
        <sz val="11"/>
        <color rgb="FF002060"/>
        <rFont val="Calibri Light"/>
        <family val="2"/>
        <scheme val="major"/>
      </rPr>
      <t>Pin code</t>
    </r>
    <r>
      <rPr>
        <sz val="11"/>
        <color rgb="FF000000"/>
        <rFont val="Calibri Light"/>
        <family val="1"/>
        <scheme val="major"/>
      </rPr>
      <t xml:space="preserve"> (must enter)</t>
    </r>
  </si>
  <si>
    <r>
      <rPr>
        <b/>
        <sz val="11"/>
        <color rgb="FF002060"/>
        <rFont val="Calibri Light"/>
        <family val="2"/>
        <scheme val="major"/>
      </rPr>
      <t>City/Village</t>
    </r>
    <r>
      <rPr>
        <sz val="11"/>
        <color rgb="FF000000"/>
        <rFont val="Calibri Light"/>
        <family val="1"/>
        <scheme val="major"/>
      </rPr>
      <t xml:space="preserve"> (Must enter)</t>
    </r>
  </si>
  <si>
    <r>
      <rPr>
        <b/>
        <sz val="11"/>
        <color rgb="FF002060"/>
        <rFont val="Calibri Light"/>
        <family val="2"/>
        <scheme val="major"/>
      </rPr>
      <t>Address line 1</t>
    </r>
    <r>
      <rPr>
        <sz val="11"/>
        <color rgb="FF000000"/>
        <rFont val="Calibri Light"/>
        <family val="1"/>
        <scheme val="major"/>
      </rPr>
      <t xml:space="preserve"> Max 40 letters</t>
    </r>
  </si>
  <si>
    <r>
      <rPr>
        <b/>
        <sz val="11"/>
        <color rgb="FF002060"/>
        <rFont val="Calibri Light"/>
        <family val="2"/>
        <scheme val="major"/>
      </rPr>
      <t xml:space="preserve">Name of vendor </t>
    </r>
    <r>
      <rPr>
        <sz val="11"/>
        <color rgb="FF000000"/>
        <rFont val="Calibri Light"/>
        <family val="1"/>
        <scheme val="major"/>
      </rPr>
      <t>(Max 35 Letters)</t>
    </r>
  </si>
  <si>
    <r>
      <rPr>
        <b/>
        <sz val="11"/>
        <color rgb="FF002060"/>
        <rFont val="Calibri Light"/>
        <family val="2"/>
        <scheme val="major"/>
      </rPr>
      <t>Purch. Orgn</t>
    </r>
    <r>
      <rPr>
        <sz val="11"/>
        <color rgb="FF000000"/>
        <rFont val="Calibri Light"/>
        <family val="1"/>
        <scheme val="major"/>
      </rPr>
      <t>. in which required</t>
    </r>
  </si>
  <si>
    <r>
      <rPr>
        <b/>
        <sz val="11"/>
        <color rgb="FF002060"/>
        <rFont val="Calibri Light"/>
        <family val="2"/>
        <scheme val="major"/>
      </rPr>
      <t>Company Code</t>
    </r>
    <r>
      <rPr>
        <sz val="11"/>
        <color rgb="FF000000"/>
        <rFont val="Calibri Light"/>
        <family val="1"/>
        <scheme val="major"/>
      </rPr>
      <t xml:space="preserve"> in which to be created</t>
    </r>
  </si>
  <si>
    <r>
      <rPr>
        <b/>
        <sz val="11"/>
        <color rgb="FF002060"/>
        <rFont val="Calibri Light"/>
        <family val="2"/>
        <scheme val="major"/>
      </rPr>
      <t>State</t>
    </r>
    <r>
      <rPr>
        <sz val="11"/>
        <color rgb="FF000000"/>
        <rFont val="Calibri Light"/>
        <family val="1"/>
        <scheme val="major"/>
      </rPr>
      <t xml:space="preserve"> (Must select the code from the list)</t>
    </r>
  </si>
  <si>
    <r>
      <rPr>
        <b/>
        <sz val="11"/>
        <color rgb="FF002060"/>
        <rFont val="Calibri Light"/>
        <family val="2"/>
        <scheme val="major"/>
      </rPr>
      <t>Purchase Item</t>
    </r>
    <r>
      <rPr>
        <sz val="11"/>
        <color rgb="FF000000"/>
        <rFont val="Calibri Light"/>
        <family val="1"/>
        <scheme val="major"/>
      </rPr>
      <t xml:space="preserve"> (for searching, select from the list)</t>
    </r>
  </si>
  <si>
    <t>Bank Acct.Name</t>
  </si>
  <si>
    <t>Bank IFSC code</t>
  </si>
  <si>
    <t>Raw Material Suppliers</t>
  </si>
  <si>
    <t>Stores &amp; Eng Material Suppliers</t>
  </si>
  <si>
    <t>Packing Material Suppliers</t>
  </si>
  <si>
    <t>Capital Item Suppliers</t>
  </si>
  <si>
    <t>Contractors</t>
  </si>
  <si>
    <t>Professionals</t>
  </si>
  <si>
    <t>Transporters</t>
  </si>
  <si>
    <t>Others FI related</t>
  </si>
  <si>
    <t>C &amp; F Agents</t>
  </si>
  <si>
    <t>Promotional Item Suppliers</t>
  </si>
  <si>
    <t>Checking</t>
  </si>
  <si>
    <t>SAP Field</t>
  </si>
  <si>
    <t>Note : The Vlookup values are entered in below from 100th row as hide, if the link missed then error message may appear in those cells.</t>
  </si>
  <si>
    <t>Note : fields mentioned as optional may be leave blank.</t>
  </si>
  <si>
    <t>Note : Yellow coloured S.No. mentioned rows are mandatory fields, Do not change combination of SAP field and the details entered</t>
  </si>
  <si>
    <t>PAN No.(10 letters or leave blank)</t>
  </si>
  <si>
    <t>GST No. (15 letters or leave blank)</t>
  </si>
  <si>
    <t>GST Purchases/TDS Services (X-Applicable or Blank TDS code dependant)</t>
  </si>
  <si>
    <t>TDS Category (TDS code dependant, don’t enter any details) CO or OT or Blank</t>
  </si>
  <si>
    <t>Note : Reference vendor is required for the series under which it is required and for the GL assignment, select the First number of the series, which exists in all Purch.Orgns.</t>
  </si>
  <si>
    <t>Note : all 31 SAP fields and corresponding details required, though it is blank</t>
  </si>
  <si>
    <t>Note : Grey coloured particualrs are to be get from vendor, rest to be filled by SAP user only.</t>
  </si>
  <si>
    <t>Bank Acct.No.(Max 18)</t>
  </si>
  <si>
    <t>INDUSTRIES LIMITED</t>
  </si>
  <si>
    <t>AAACH7557G</t>
  </si>
  <si>
    <t>AIRA</t>
  </si>
  <si>
    <t>KHERI</t>
  </si>
  <si>
    <t>AIRA ESTATE</t>
  </si>
  <si>
    <t>KHAMARIA PANDIT</t>
  </si>
  <si>
    <t>Employee vendors</t>
  </si>
  <si>
    <t>CONTRACTOR</t>
  </si>
  <si>
    <t>OTHER PM-GUM/ TAPE ETC VENDORS</t>
  </si>
  <si>
    <t>02</t>
  </si>
  <si>
    <t>03</t>
  </si>
  <si>
    <t>04</t>
  </si>
  <si>
    <t>05</t>
  </si>
  <si>
    <t>06</t>
  </si>
  <si>
    <t>07</t>
  </si>
  <si>
    <t>08</t>
  </si>
  <si>
    <t>09</t>
  </si>
  <si>
    <t>TDs CODE</t>
  </si>
  <si>
    <t>description</t>
  </si>
  <si>
    <t>F001</t>
  </si>
  <si>
    <t>F002</t>
  </si>
  <si>
    <t>F003</t>
  </si>
  <si>
    <t>F004</t>
  </si>
  <si>
    <t>F005</t>
  </si>
  <si>
    <t>F009</t>
  </si>
  <si>
    <t>F010</t>
  </si>
  <si>
    <t>F030</t>
  </si>
  <si>
    <t>IMFL PUR.ORG.</t>
  </si>
  <si>
    <t>PB PUR.ORG.</t>
  </si>
  <si>
    <t>HP PUR.ORG.</t>
  </si>
  <si>
    <t>CHD PUR.ORG.</t>
  </si>
  <si>
    <t>UT PUR.ORG</t>
  </si>
  <si>
    <t>JK PUR.ORG</t>
  </si>
  <si>
    <t>MAH PUR.ORG</t>
  </si>
  <si>
    <t>MP PUR.ORG.</t>
  </si>
  <si>
    <t>PM25</t>
  </si>
  <si>
    <t>R061</t>
  </si>
  <si>
    <t>R062</t>
  </si>
  <si>
    <t>R063</t>
  </si>
  <si>
    <t>R101</t>
  </si>
  <si>
    <t>PET ORG-PET TG</t>
  </si>
  <si>
    <t>Printing unit AURANG</t>
  </si>
  <si>
    <t>SITAPUR PUR ORG</t>
  </si>
  <si>
    <t>RKL-GREENFIELD DIST.</t>
  </si>
  <si>
    <t>Timmapur</t>
  </si>
  <si>
    <t>T066</t>
  </si>
  <si>
    <t>T067</t>
  </si>
  <si>
    <t>T068</t>
  </si>
  <si>
    <t>T069</t>
  </si>
  <si>
    <t>PARADISE PURORG</t>
  </si>
  <si>
    <t>HIGH QUEEN PORG</t>
  </si>
  <si>
    <t>Saffron Beverag PORG</t>
  </si>
  <si>
    <t>SHIKHA distt PORG</t>
  </si>
  <si>
    <t>PARADISE DIST P LTD</t>
  </si>
  <si>
    <t>High Queen Distrs&amp;BotPLtd</t>
  </si>
  <si>
    <t>Saffron Beverages Pvt ltd</t>
  </si>
  <si>
    <t>SHIKA DIST&amp;BOTTLERS P LTD</t>
  </si>
  <si>
    <t>01</t>
  </si>
  <si>
    <t>09AAACH7557G1ZB</t>
  </si>
  <si>
    <t>UDYAMUP120018329</t>
  </si>
  <si>
    <t>MSME No. (Max 16 Letters, remove special characters)</t>
  </si>
  <si>
    <t>Not MSME Registered/Applicable</t>
  </si>
  <si>
    <t>Reference Vendor code</t>
  </si>
  <si>
    <t>For number series &amp; GL (31 row) and Pricing schema</t>
  </si>
  <si>
    <r>
      <t>MSME Category (</t>
    </r>
    <r>
      <rPr>
        <sz val="11"/>
        <color rgb="FF002060"/>
        <rFont val="Calibri Light"/>
        <family val="2"/>
        <scheme val="major"/>
      </rPr>
      <t>Must select in E27 from the list)</t>
    </r>
  </si>
  <si>
    <r>
      <t xml:space="preserve">Payment Terms/ Credit days </t>
    </r>
    <r>
      <rPr>
        <sz val="11"/>
        <color rgb="FF002060"/>
        <rFont val="Calibri Light"/>
        <family val="2"/>
        <scheme val="major"/>
      </rPr>
      <t>(select from the list in E23)</t>
    </r>
  </si>
  <si>
    <t>hng@gmail.com</t>
  </si>
  <si>
    <t>HINDUSTHAN NATIONAL GLASS &amp; INDUSTRIES LIMITED</t>
  </si>
  <si>
    <t>ICIC0000857</t>
  </si>
  <si>
    <t xml:space="preserve">HINDUSTHAN NATIONAL GLASS &amp; </t>
  </si>
  <si>
    <t>R064</t>
  </si>
  <si>
    <t>R065</t>
  </si>
  <si>
    <t>R066</t>
  </si>
  <si>
    <t>R067</t>
  </si>
  <si>
    <t>T070</t>
  </si>
  <si>
    <t>T071</t>
  </si>
  <si>
    <t>T072</t>
  </si>
  <si>
    <t>T073</t>
  </si>
  <si>
    <t>T074</t>
  </si>
  <si>
    <t>Name of vendor</t>
  </si>
  <si>
    <t>Address line 1</t>
  </si>
  <si>
    <t>AddressLine2</t>
  </si>
  <si>
    <t>Address line3</t>
  </si>
  <si>
    <t>00630501061857</t>
  </si>
  <si>
    <t>In which Company Code, 
above ref.Vendor code presently exists</t>
  </si>
  <si>
    <t>In which Purchase Organisation, 
above ref.Vendor code presently exists</t>
  </si>
  <si>
    <t>HINDUSTHAN NATIONAL GLASS &amp; INDUSTRIES LTD</t>
  </si>
  <si>
    <t>Request the Vendor to fill the data in this sheet only.</t>
  </si>
  <si>
    <t>State</t>
  </si>
  <si>
    <t>MSME Category (Micro/Small/Medium)</t>
  </si>
  <si>
    <t>Micro</t>
  </si>
  <si>
    <t>Bank Acct.No.</t>
  </si>
  <si>
    <t>GL (Above Ref.Vendor code dependant, don’t enter)</t>
  </si>
  <si>
    <t>Zero or Blank (GST No. dependant not to enter)</t>
  </si>
  <si>
    <t>OTHER PM</t>
  </si>
  <si>
    <t>Note : Green colour cells, to be selected from list only without leaving as blank</t>
  </si>
  <si>
    <t>GRAIN</t>
  </si>
  <si>
    <t>GRAIN VENDOR</t>
  </si>
  <si>
    <t>COAL</t>
  </si>
  <si>
    <t>COAL VENDOR</t>
  </si>
  <si>
    <t>RICE HUSK</t>
  </si>
  <si>
    <t>RICE HUSK VENDOR</t>
  </si>
  <si>
    <t>MET</t>
  </si>
  <si>
    <t>MMT</t>
  </si>
  <si>
    <t>MST</t>
  </si>
  <si>
    <t>Medium Enterprise - Trading</t>
  </si>
  <si>
    <t>Small Enterprise - Trading</t>
  </si>
  <si>
    <t>Micro Enterprises - Trading</t>
  </si>
  <si>
    <t>RKL SSPL PUR ORG</t>
  </si>
  <si>
    <t>RKL SIFARU PUR ORG</t>
  </si>
  <si>
    <t>RKL MMPL</t>
  </si>
  <si>
    <t>RKL FDPL</t>
  </si>
  <si>
    <t>Note : MSME Date to be entered in DD.MM.YYYY format only.</t>
  </si>
  <si>
    <t>IB</t>
  </si>
  <si>
    <t>TDS-194J-PROF-TECH-INV- 2%</t>
  </si>
  <si>
    <t>IR</t>
  </si>
  <si>
    <t>TDS-194R-PROMO-10% NORMAL</t>
  </si>
  <si>
    <t>TDS-194A-INT-INV-206AA/AB 20%</t>
  </si>
  <si>
    <t>TDS-194C-CONT-INV-206AA 20%</t>
  </si>
  <si>
    <t>TDS-194H-COMM-INV-206AA 20%</t>
  </si>
  <si>
    <t>TDS-194IB RENT-INV-206AA/AB 20%</t>
  </si>
  <si>
    <t>TDS-194JB-PROF-INV-206AA/AB 20%</t>
  </si>
  <si>
    <t>TDS-194IA-RENT-P&amp;M-INV-206AB 5%</t>
  </si>
  <si>
    <t>IK (Higher Tax code applicable for 'IB' only)</t>
  </si>
  <si>
    <t>ID (Higher Tax code applicable for 'I1' &amp; 'I2')</t>
  </si>
  <si>
    <t>II (Higher Tax code applicable for 'I3' &amp; 'I4')</t>
  </si>
  <si>
    <t>IL (Higher Tax code applicable for 'I5' only)</t>
  </si>
  <si>
    <t>IE (Higher Tax code applicable for 'I6' &amp; 'I7')</t>
  </si>
  <si>
    <t>IJ (Higher Tax code applicable for 'I8' only)</t>
  </si>
  <si>
    <t>IG (Higher Tax code applicable for 'I9' only)</t>
  </si>
  <si>
    <t>IH (Higher Tax code applicable for 'IQ' only)</t>
  </si>
  <si>
    <t>TDS-194Q-Non PAN Purch-Inv(MIRO)5%</t>
  </si>
  <si>
    <t>IS (Higher Tax code applicable for 'IR' only)</t>
  </si>
  <si>
    <t>Vendor Creation Format</t>
  </si>
  <si>
    <t>22 (a)</t>
  </si>
  <si>
    <t>22 (b)</t>
  </si>
  <si>
    <t>22 (c)</t>
  </si>
  <si>
    <t>22 (d)</t>
  </si>
  <si>
    <t>No tax code</t>
  </si>
  <si>
    <t>UP061005382</t>
  </si>
  <si>
    <t>Vendor Code Extension Form</t>
  </si>
  <si>
    <t>Bank Acct.Name / Acct. Holder Name</t>
  </si>
  <si>
    <t>Is Pan Operative(Yes/No)?</t>
  </si>
  <si>
    <t>Yes</t>
  </si>
  <si>
    <t>*PAN VERIFY*</t>
  </si>
  <si>
    <r>
      <rPr>
        <b/>
        <sz val="11"/>
        <color rgb="FF002060"/>
        <rFont val="Calibri Light"/>
        <family val="2"/>
        <scheme val="major"/>
      </rPr>
      <t>TDS Code</t>
    </r>
    <r>
      <rPr>
        <sz val="11"/>
        <color rgb="FF000000"/>
        <rFont val="Calibri Light"/>
        <family val="1"/>
        <scheme val="major"/>
      </rPr>
      <t xml:space="preserve"> (Must select from the list)</t>
    </r>
    <r>
      <rPr>
        <sz val="11"/>
        <color rgb="FF000000"/>
        <rFont val="Calibri Light"/>
        <family val="2"/>
        <scheme val="major"/>
      </rPr>
      <t xml:space="preserve"> / Mandatory</t>
    </r>
  </si>
  <si>
    <t>No</t>
  </si>
  <si>
    <t>Operative PAN</t>
  </si>
  <si>
    <t>RKL PRAGATI</t>
  </si>
  <si>
    <t>R068</t>
  </si>
  <si>
    <t>R069</t>
  </si>
  <si>
    <t>RKL-GREAT GALLEON</t>
  </si>
  <si>
    <t>R070</t>
  </si>
  <si>
    <t>RKL-COLLIN DISTT.</t>
  </si>
  <si>
    <t>R071</t>
  </si>
  <si>
    <t>RKL-PEARL</t>
  </si>
  <si>
    <t>R072</t>
  </si>
  <si>
    <t>RKL-BENGAL WINES</t>
  </si>
  <si>
    <t>PM26</t>
  </si>
  <si>
    <t>PUR.ORG ARP</t>
  </si>
  <si>
    <t>27</t>
  </si>
  <si>
    <t>35</t>
  </si>
  <si>
    <t>37</t>
  </si>
  <si>
    <t>12</t>
  </si>
  <si>
    <t>18</t>
  </si>
  <si>
    <t>10</t>
  </si>
  <si>
    <t>22</t>
  </si>
  <si>
    <t>26</t>
  </si>
  <si>
    <t>25</t>
  </si>
  <si>
    <t>30</t>
  </si>
  <si>
    <t>24</t>
  </si>
  <si>
    <t>20</t>
  </si>
  <si>
    <t>29</t>
  </si>
  <si>
    <t>32</t>
  </si>
  <si>
    <t>31</t>
  </si>
  <si>
    <t>23</t>
  </si>
  <si>
    <t>17</t>
  </si>
  <si>
    <t>15</t>
  </si>
  <si>
    <t>13</t>
  </si>
  <si>
    <t>21</t>
  </si>
  <si>
    <t>34</t>
  </si>
  <si>
    <t>11</t>
  </si>
  <si>
    <t>36</t>
  </si>
  <si>
    <t>33</t>
  </si>
  <si>
    <t>16</t>
  </si>
  <si>
    <t>19</t>
  </si>
  <si>
    <t>P1</t>
  </si>
  <si>
    <t>TDS-194A-INT-IND-PAY- 10%</t>
  </si>
  <si>
    <t>P2</t>
  </si>
  <si>
    <t>TDS-194A-INT-CO-PAY- 10%</t>
  </si>
  <si>
    <t>P3</t>
  </si>
  <si>
    <t>TDS-194C-CONT-CO-PAY- 2%</t>
  </si>
  <si>
    <t>P4</t>
  </si>
  <si>
    <t>TDS-194C-CONT-IND-PAY- 1%</t>
  </si>
  <si>
    <t>P5</t>
  </si>
  <si>
    <t>TDS-194H-COMM-PAY- 5%</t>
  </si>
  <si>
    <t>P6</t>
  </si>
  <si>
    <t>TDS-194IB-RENT-L&amp;B,F&amp;F-IND-PAY- 10%</t>
  </si>
  <si>
    <t>P7</t>
  </si>
  <si>
    <t>TDS-194IB-RENT-L&amp;B,F&amp;F-PAY- 10%</t>
  </si>
  <si>
    <t>P8</t>
  </si>
  <si>
    <t>TDS-194J-PROF-PAY- 10%</t>
  </si>
  <si>
    <t>P9</t>
  </si>
  <si>
    <t>TDS-194IA-RENT-P&amp;M-PAY- 2%</t>
  </si>
  <si>
    <t>TDS-194J-PROF-TECH-PAY- 2%</t>
  </si>
  <si>
    <t>PQ</t>
  </si>
  <si>
    <t>TDS-194Q-Purchases-Adv Pmt 0.1%</t>
  </si>
  <si>
    <t>TDS-194A-INT-ADV-206AB 20%</t>
  </si>
  <si>
    <t>TDS-194C-CONT-ADV-206AA 20%</t>
  </si>
  <si>
    <t>TDS-194H-COMM-ADV-206AA 20%</t>
  </si>
  <si>
    <t>TDS-194IB-RENT-ADV-206AB 20%</t>
  </si>
  <si>
    <t>TDS-194J-PROF-ADV-206AB 20%</t>
  </si>
  <si>
    <t>TDS-194IA-RENT-P&amp;M-ADV-206AB 5%</t>
  </si>
  <si>
    <t>TDS-194J-PROF-TECH-ADV-206AB 5%</t>
  </si>
  <si>
    <t>TDS-194Q-Non PAN Purch-Adv Pmt 5%</t>
  </si>
  <si>
    <t>PD (Higher Tax code applicable for 'P1' &amp; 'P2')</t>
  </si>
  <si>
    <t>PI (Higher Tax code applicable for 'P3' &amp; 'P4')</t>
  </si>
  <si>
    <t>PL (Higher Tax code applicable for 'P5' only)</t>
  </si>
  <si>
    <t>PE (Higher Tax code applicable for 'P6' &amp; 'P7')</t>
  </si>
  <si>
    <t>PJ (Higher Tax code applicable for 'P8' only)</t>
  </si>
  <si>
    <t>PG (Higher Tax code applicable for 'P9' only)</t>
  </si>
  <si>
    <t>PK (Higher Tax code applicable for 'PB' only)</t>
  </si>
  <si>
    <t>PH (Higher Tax code applicable for 'PQ' only)</t>
  </si>
  <si>
    <t>Details of Vendor 1</t>
  </si>
  <si>
    <t>22 (e)</t>
  </si>
  <si>
    <t>0024</t>
  </si>
  <si>
    <t>WITHIN 3 DAYS THRU RTGS</t>
  </si>
  <si>
    <r>
      <rPr>
        <b/>
        <sz val="11"/>
        <color rgb="FF002060"/>
        <rFont val="Calibri Light"/>
        <family val="2"/>
        <scheme val="major"/>
      </rPr>
      <t xml:space="preserve">Optional TDS Code </t>
    </r>
    <r>
      <rPr>
        <sz val="11"/>
        <color rgb="FF000000"/>
        <rFont val="Calibri Light"/>
        <family val="2"/>
        <scheme val="major"/>
      </rPr>
      <t>(Must select from the list)</t>
    </r>
  </si>
  <si>
    <t>C001</t>
  </si>
  <si>
    <t>I001</t>
  </si>
  <si>
    <t>CL PUR.ORG.</t>
  </si>
  <si>
    <t>IBD PUR.ORG.</t>
  </si>
  <si>
    <t>TDS Conversion Master</t>
  </si>
  <si>
    <t>Normal Invoice Payment</t>
  </si>
  <si>
    <t>Advance Payment</t>
  </si>
  <si>
    <t>Tax Code</t>
  </si>
  <si>
    <t>Higher Tax Code</t>
  </si>
  <si>
    <t>TDS-194A-INT-IND-INV- 10%</t>
  </si>
  <si>
    <t>ID</t>
  </si>
  <si>
    <t>PD</t>
  </si>
  <si>
    <t>TDS-194A-INT-CO-INV- 10%</t>
  </si>
  <si>
    <t>TDS-194C-CONT-CO-INV- 2%</t>
  </si>
  <si>
    <t>II</t>
  </si>
  <si>
    <t>PI</t>
  </si>
  <si>
    <t>TDS-194C-CONT-IND-INV- 1%</t>
  </si>
  <si>
    <t>IC</t>
  </si>
  <si>
    <t>TDS-194C-CONT-INV-206AB 5%</t>
  </si>
  <si>
    <t>PC</t>
  </si>
  <si>
    <t>TDS-194C-CONT-ADV-206AB 5%</t>
  </si>
  <si>
    <t>TDS-194H-COMM-INV- 5%</t>
  </si>
  <si>
    <t>IL</t>
  </si>
  <si>
    <t>PL</t>
  </si>
  <si>
    <t>IF</t>
  </si>
  <si>
    <t>TDS-194H-COMM-INV-206AB 10%</t>
  </si>
  <si>
    <t>PF</t>
  </si>
  <si>
    <t>TDS-194H-COMM-ADV-206AB 10%</t>
  </si>
  <si>
    <t>TDS-194IB RENT-L&amp;B,F&amp;F-IND-INV- 10%</t>
  </si>
  <si>
    <t>IE</t>
  </si>
  <si>
    <t>PE</t>
  </si>
  <si>
    <t>TDS-194IB-RENT-L&amp;B,F&amp;F-CO-INV- 10%</t>
  </si>
  <si>
    <t>TDS-194J-PROF-INV- 10%</t>
  </si>
  <si>
    <t>IJ</t>
  </si>
  <si>
    <t>PJ</t>
  </si>
  <si>
    <t>TDS-194IA-RENT-P&amp;M-INV- 2%</t>
  </si>
  <si>
    <t>IG</t>
  </si>
  <si>
    <t>PG</t>
  </si>
  <si>
    <t>IK</t>
  </si>
  <si>
    <t>PK</t>
  </si>
  <si>
    <t>TDS-194J-PROF-TECH-INV-206AB 5%</t>
  </si>
  <si>
    <t>TDS-194Q-Purchases-Inv(MIRO)0.1%</t>
  </si>
  <si>
    <t>IH</t>
  </si>
  <si>
    <t>PH</t>
  </si>
  <si>
    <t>IS</t>
  </si>
  <si>
    <t>TDS-194R-PROMO-20% U/s 206AA/AB</t>
  </si>
  <si>
    <t>TDS-195-NRI-CO-INV-10.4%</t>
  </si>
  <si>
    <t>Group</t>
  </si>
  <si>
    <t>NR</t>
  </si>
  <si>
    <t xml:space="preserve">Name                          </t>
  </si>
  <si>
    <t>From</t>
  </si>
  <si>
    <t>To</t>
  </si>
  <si>
    <t>GL A/ct</t>
  </si>
  <si>
    <t xml:space="preserve">GL Description </t>
  </si>
  <si>
    <t>Remarks</t>
  </si>
  <si>
    <t xml:space="preserve">RMS  </t>
  </si>
  <si>
    <t xml:space="preserve">Raw Material Suppliers        </t>
  </si>
  <si>
    <t>Trade Creditors-Raw Material</t>
  </si>
  <si>
    <t xml:space="preserve">SMS  </t>
  </si>
  <si>
    <t xml:space="preserve">Stores &amp; Eng Material Suppliers     </t>
  </si>
  <si>
    <t>Trade Creditors-Gen Stores ,Chem &amp; Fuel</t>
  </si>
  <si>
    <t xml:space="preserve">PMS  </t>
  </si>
  <si>
    <t xml:space="preserve">Packing Material Suppliers    </t>
  </si>
  <si>
    <t>Trade Creditors-Packing Material</t>
  </si>
  <si>
    <t xml:space="preserve">CIS  </t>
  </si>
  <si>
    <t xml:space="preserve">Capital Item Suppliers        </t>
  </si>
  <si>
    <t>Trade Creditors-Capital Items</t>
  </si>
  <si>
    <t xml:space="preserve">CON  </t>
  </si>
  <si>
    <t xml:space="preserve">Contractors                   </t>
  </si>
  <si>
    <t>Trade Creditors-Contractors</t>
  </si>
  <si>
    <t xml:space="preserve">PRF  </t>
  </si>
  <si>
    <t xml:space="preserve">Professionals                 </t>
  </si>
  <si>
    <t>Trade Creditors-Professionals</t>
  </si>
  <si>
    <t xml:space="preserve">OTV  </t>
  </si>
  <si>
    <t xml:space="preserve">One Time Vendor               </t>
  </si>
  <si>
    <t>Trade Creditors-One Time Vendor</t>
  </si>
  <si>
    <t xml:space="preserve">TRP  </t>
  </si>
  <si>
    <t xml:space="preserve">Transporters                  </t>
  </si>
  <si>
    <t>Trade Creditors- Transporters</t>
  </si>
  <si>
    <t xml:space="preserve">OTH  </t>
  </si>
  <si>
    <t>Others(TDS Related)</t>
  </si>
  <si>
    <t>106600
107100</t>
  </si>
  <si>
    <t>Trade Creditors-Expenses &amp; Others
Trade Creditors-Tieup unit</t>
  </si>
  <si>
    <t>C&amp;F  (Series 1)</t>
  </si>
  <si>
    <t xml:space="preserve">C &amp; F Agents                  </t>
  </si>
  <si>
    <t>Trade Creditors-C&amp;F Agents</t>
  </si>
  <si>
    <t>Series has been fully utilised</t>
  </si>
  <si>
    <t xml:space="preserve">MKT  </t>
  </si>
  <si>
    <t xml:space="preserve">Promotional Item Suppliers    </t>
  </si>
  <si>
    <t>Trade Creditors-Promo Items</t>
  </si>
  <si>
    <t xml:space="preserve">EMP  </t>
  </si>
  <si>
    <t xml:space="preserve">Employees                     </t>
  </si>
  <si>
    <t>Trade Creditors-Employees</t>
  </si>
  <si>
    <t xml:space="preserve">IBD  </t>
  </si>
  <si>
    <t xml:space="preserve">IBD Suppliers                 </t>
  </si>
  <si>
    <t>Trade Creditors-Expenses &amp; Others</t>
  </si>
  <si>
    <t xml:space="preserve">TMEM </t>
  </si>
  <si>
    <t xml:space="preserve">Trust Members                 </t>
  </si>
  <si>
    <t>C&amp;F  (Series 2)</t>
  </si>
  <si>
    <t xml:space="preserve">VRMS  </t>
  </si>
  <si>
    <t xml:space="preserve">VSMS  </t>
  </si>
  <si>
    <t xml:space="preserve">VPMS  </t>
  </si>
  <si>
    <t xml:space="preserve">VCIS  </t>
  </si>
  <si>
    <t xml:space="preserve">VCON  </t>
  </si>
  <si>
    <t xml:space="preserve">VPRF  </t>
  </si>
  <si>
    <t xml:space="preserve">VOTV  </t>
  </si>
  <si>
    <t xml:space="preserve">VTRP  </t>
  </si>
  <si>
    <t xml:space="preserve">VOTH  </t>
  </si>
  <si>
    <t xml:space="preserve">VMKT  </t>
  </si>
  <si>
    <t xml:space="preserve">VEMP  </t>
  </si>
  <si>
    <t xml:space="preserve">VIBD  </t>
  </si>
  <si>
    <t>VC&amp;F</t>
  </si>
  <si>
    <t xml:space="preserve">New Grouping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</si>
</sst>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.dd\.yyyy"/>
    <numFmt numFmtId="165" formatCode="dd\.mm\.yyyy"/>
  </numFmts>
  <fonts count="3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 Light"/>
      <family val="1"/>
      <scheme val="major"/>
    </font>
    <font>
      <sz val="11"/>
      <name val="Calibri Light"/>
      <family val="1"/>
      <scheme val="major"/>
    </font>
    <font>
      <b/>
      <sz val="11"/>
      <name val="Calibri Light"/>
      <family val="1"/>
      <scheme val="major"/>
    </font>
    <font>
      <b/>
      <i/>
      <sz val="11"/>
      <color rgb="FF000000"/>
      <name val="Calibri Light"/>
      <family val="1"/>
      <scheme val="major"/>
    </font>
    <font>
      <b/>
      <sz val="11"/>
      <color rgb="FF000000"/>
      <name val="Calibri Light"/>
      <family val="1"/>
      <scheme val="major"/>
    </font>
    <font>
      <b/>
      <i/>
      <sz val="11"/>
      <name val="Calibri Light"/>
      <family val="1"/>
      <scheme val="major"/>
    </font>
    <font>
      <sz val="12"/>
      <name val="Arial"/>
      <family val="2"/>
    </font>
    <font>
      <b/>
      <sz val="11"/>
      <color theme="9"/>
      <name val="Calibri Light"/>
      <family val="1"/>
      <scheme val="major"/>
    </font>
    <font>
      <b/>
      <sz val="11"/>
      <color rgb="FF00206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8"/>
      <color rgb="FF000000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sz val="11"/>
      <color rgb="FF002060"/>
      <name val="Calibri Light"/>
      <family val="2"/>
      <scheme val="major"/>
    </font>
    <font>
      <b/>
      <sz val="12"/>
      <color rgb="FF000000"/>
      <name val="Calibri Light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7"/>
      <color rgb="FF333333"/>
      <name val="Verdana"/>
      <family val="2"/>
    </font>
    <font>
      <b/>
      <sz val="12"/>
      <color rgb="FF000000"/>
      <name val="Calibri Light"/>
      <family val="2"/>
      <scheme val="major"/>
    </font>
    <font>
      <i/>
      <sz val="11"/>
      <name val="Calibri Light"/>
      <family val="2"/>
      <scheme val="major"/>
    </font>
    <font>
      <i/>
      <sz val="10"/>
      <name val="Arial"/>
      <family val="2"/>
    </font>
    <font>
      <b/>
      <sz val="9"/>
      <name val="Calibri Light"/>
      <family val="2"/>
      <scheme val="major"/>
    </font>
    <font>
      <sz val="12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name val="Arial"/>
    </font>
    <font>
      <b/>
      <u/>
      <sz val="16"/>
      <name val="Arial"/>
      <family val="2"/>
    </font>
    <font>
      <b/>
      <i/>
      <u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0000"/>
      <name val="Courier New"/>
      <family val="3"/>
    </font>
    <font>
      <b/>
      <sz val="11"/>
      <name val="Courier New"/>
      <family val="3"/>
    </font>
    <font>
      <b/>
      <sz val="11"/>
      <color theme="0"/>
      <name val="Courier New"/>
      <family val="3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7" fillId="0" borderId="0" applyNumberFormat="0" applyFill="0" applyBorder="0" applyAlignment="0" applyProtection="0"/>
    <xf numFmtId="0" fontId="26" fillId="0" borderId="0"/>
  </cellStyleXfs>
  <cellXfs count="171">
    <xf numFmtId="0" fontId="0" fillId="0" borderId="0" xfId="0"/>
    <xf numFmtId="0" fontId="2" fillId="0" borderId="1" xfId="1" applyFont="1" applyBorder="1" applyAlignment="1" applyProtection="1">
      <alignment vertical="center"/>
      <protection locked="0" hidden="1"/>
    </xf>
    <xf numFmtId="0" fontId="3" fillId="0" borderId="2" xfId="1" applyFont="1" applyBorder="1" applyProtection="1">
      <protection locked="0"/>
    </xf>
    <xf numFmtId="0" fontId="4" fillId="0" borderId="2" xfId="1" applyFont="1" applyBorder="1" applyAlignment="1" applyProtection="1">
      <alignment horizontal="left"/>
      <protection locked="0"/>
    </xf>
    <xf numFmtId="0" fontId="3" fillId="0" borderId="0" xfId="1" applyFont="1" applyProtection="1">
      <protection locked="0"/>
    </xf>
    <xf numFmtId="0" fontId="6" fillId="0" borderId="5" xfId="1" applyFont="1" applyBorder="1" applyAlignment="1" applyProtection="1">
      <alignment vertical="center"/>
      <protection locked="0" hidden="1"/>
    </xf>
    <xf numFmtId="0" fontId="7" fillId="0" borderId="0" xfId="1" applyFont="1" applyProtection="1">
      <protection locked="0"/>
    </xf>
    <xf numFmtId="0" fontId="2" fillId="0" borderId="5" xfId="1" applyFont="1" applyBorder="1" applyAlignment="1" applyProtection="1">
      <alignment vertical="center"/>
      <protection locked="0"/>
    </xf>
    <xf numFmtId="0" fontId="6" fillId="0" borderId="4" xfId="1" applyFont="1" applyBorder="1" applyAlignment="1" applyProtection="1">
      <alignment horizontal="left" vertical="center"/>
      <protection locked="0"/>
    </xf>
    <xf numFmtId="0" fontId="6" fillId="0" borderId="5" xfId="1" applyFont="1" applyBorder="1" applyAlignment="1" applyProtection="1">
      <alignment vertical="center"/>
      <protection locked="0"/>
    </xf>
    <xf numFmtId="0" fontId="6" fillId="0" borderId="5" xfId="1" quotePrefix="1" applyFont="1" applyBorder="1" applyAlignment="1" applyProtection="1">
      <alignment vertical="center"/>
      <protection locked="0"/>
    </xf>
    <xf numFmtId="14" fontId="6" fillId="0" borderId="4" xfId="1" applyNumberFormat="1" applyFont="1" applyBorder="1" applyAlignment="1" applyProtection="1">
      <alignment horizontal="left" vertical="center"/>
      <protection locked="0"/>
    </xf>
    <xf numFmtId="0" fontId="4" fillId="0" borderId="0" xfId="1" applyFont="1" applyAlignment="1" applyProtection="1">
      <alignment horizontal="left"/>
      <protection locked="0"/>
    </xf>
    <xf numFmtId="0" fontId="8" fillId="0" borderId="8" xfId="1" applyFont="1" applyBorder="1"/>
    <xf numFmtId="0" fontId="8" fillId="0" borderId="9" xfId="1" applyFont="1" applyBorder="1"/>
    <xf numFmtId="0" fontId="8" fillId="0" borderId="9" xfId="1" applyFont="1" applyBorder="1" applyAlignment="1">
      <alignment horizontal="right" vertical="center"/>
    </xf>
    <xf numFmtId="0" fontId="4" fillId="0" borderId="10" xfId="1" applyFont="1" applyBorder="1" applyProtection="1">
      <protection locked="0" hidden="1"/>
    </xf>
    <xf numFmtId="0" fontId="3" fillId="0" borderId="0" xfId="1" applyFont="1" applyProtection="1">
      <protection locked="0" hidden="1"/>
    </xf>
    <xf numFmtId="0" fontId="3" fillId="0" borderId="10" xfId="1" quotePrefix="1" applyFont="1" applyBorder="1" applyProtection="1">
      <protection locked="0" hidden="1"/>
    </xf>
    <xf numFmtId="0" fontId="3" fillId="0" borderId="10" xfId="1" applyFont="1" applyBorder="1" applyProtection="1">
      <protection locked="0" hidden="1"/>
    </xf>
    <xf numFmtId="0" fontId="3" fillId="0" borderId="11" xfId="1" applyFont="1" applyBorder="1" applyProtection="1">
      <protection locked="0" hidden="1"/>
    </xf>
    <xf numFmtId="0" fontId="9" fillId="0" borderId="0" xfId="1" applyFont="1" applyProtection="1">
      <protection locked="0" hidden="1"/>
    </xf>
    <xf numFmtId="0" fontId="4" fillId="0" borderId="0" xfId="1" applyFont="1" applyProtection="1">
      <protection locked="0" hidden="1"/>
    </xf>
    <xf numFmtId="0" fontId="11" fillId="0" borderId="5" xfId="1" applyFont="1" applyBorder="1" applyAlignment="1" applyProtection="1">
      <alignment vertical="center"/>
      <protection locked="0"/>
    </xf>
    <xf numFmtId="0" fontId="11" fillId="0" borderId="5" xfId="1" applyFont="1" applyBorder="1" applyAlignment="1" applyProtection="1">
      <alignment vertical="center"/>
      <protection locked="0" hidden="1"/>
    </xf>
    <xf numFmtId="0" fontId="12" fillId="0" borderId="5" xfId="1" applyFont="1" applyBorder="1" applyAlignment="1" applyProtection="1">
      <alignment vertical="center"/>
      <protection locked="0" hidden="1"/>
    </xf>
    <xf numFmtId="0" fontId="8" fillId="0" borderId="8" xfId="1" applyFont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4" fillId="0" borderId="4" xfId="1" applyFont="1" applyBorder="1" applyProtection="1">
      <protection locked="0"/>
    </xf>
    <xf numFmtId="0" fontId="5" fillId="0" borderId="7" xfId="1" applyFont="1" applyBorder="1" applyAlignment="1" applyProtection="1">
      <alignment vertical="center"/>
      <protection locked="0" hidden="1"/>
    </xf>
    <xf numFmtId="0" fontId="11" fillId="0" borderId="3" xfId="1" applyFont="1" applyBorder="1" applyAlignment="1" applyProtection="1">
      <alignment vertical="center"/>
      <protection locked="0"/>
    </xf>
    <xf numFmtId="0" fontId="10" fillId="0" borderId="5" xfId="1" applyFont="1" applyBorder="1" applyAlignment="1" applyProtection="1">
      <alignment vertical="center"/>
      <protection locked="0"/>
    </xf>
    <xf numFmtId="0" fontId="2" fillId="0" borderId="16" xfId="1" applyFont="1" applyBorder="1" applyAlignment="1" applyProtection="1">
      <alignment vertical="center"/>
      <protection locked="0" hidden="1"/>
    </xf>
    <xf numFmtId="0" fontId="3" fillId="0" borderId="10" xfId="1" applyFont="1" applyBorder="1" applyAlignment="1" applyProtection="1">
      <alignment horizontal="center"/>
      <protection locked="0"/>
    </xf>
    <xf numFmtId="0" fontId="2" fillId="0" borderId="10" xfId="1" applyFont="1" applyBorder="1" applyAlignment="1" applyProtection="1">
      <alignment horizontal="center"/>
      <protection locked="0"/>
    </xf>
    <xf numFmtId="0" fontId="3" fillId="2" borderId="10" xfId="1" applyFont="1" applyFill="1" applyBorder="1" applyAlignment="1" applyProtection="1">
      <alignment horizontal="center"/>
      <protection locked="0"/>
    </xf>
    <xf numFmtId="0" fontId="2" fillId="2" borderId="10" xfId="1" applyFont="1" applyFill="1" applyBorder="1" applyAlignment="1" applyProtection="1">
      <alignment horizontal="center"/>
      <protection locked="0"/>
    </xf>
    <xf numFmtId="0" fontId="6" fillId="2" borderId="1" xfId="1" applyFont="1" applyFill="1" applyBorder="1" applyAlignment="1" applyProtection="1">
      <alignment horizontal="left" vertical="center"/>
      <protection locked="0"/>
    </xf>
    <xf numFmtId="0" fontId="14" fillId="0" borderId="5" xfId="1" applyFont="1" applyBorder="1" applyAlignment="1" applyProtection="1">
      <alignment vertical="center" wrapText="1"/>
      <protection locked="0"/>
    </xf>
    <xf numFmtId="0" fontId="11" fillId="3" borderId="15" xfId="1" applyFont="1" applyFill="1" applyBorder="1" applyAlignment="1" applyProtection="1">
      <alignment vertical="center"/>
      <protection locked="0"/>
    </xf>
    <xf numFmtId="0" fontId="2" fillId="3" borderId="14" xfId="1" applyFont="1" applyFill="1" applyBorder="1" applyAlignment="1" applyProtection="1">
      <alignment vertical="center"/>
      <protection locked="0"/>
    </xf>
    <xf numFmtId="0" fontId="11" fillId="3" borderId="3" xfId="1" applyFont="1" applyFill="1" applyBorder="1" applyAlignment="1" applyProtection="1">
      <alignment vertical="center"/>
      <protection locked="0"/>
    </xf>
    <xf numFmtId="0" fontId="2" fillId="3" borderId="5" xfId="1" applyFont="1" applyFill="1" applyBorder="1" applyAlignment="1" applyProtection="1">
      <alignment vertical="center"/>
      <protection locked="0"/>
    </xf>
    <xf numFmtId="0" fontId="2" fillId="3" borderId="3" xfId="1" applyFont="1" applyFill="1" applyBorder="1" applyAlignment="1" applyProtection="1">
      <alignment vertical="center"/>
      <protection locked="0"/>
    </xf>
    <xf numFmtId="0" fontId="17" fillId="0" borderId="5" xfId="2" quotePrefix="1" applyBorder="1" applyAlignment="1" applyProtection="1">
      <alignment vertical="center"/>
      <protection locked="0"/>
    </xf>
    <xf numFmtId="0" fontId="6" fillId="0" borderId="1" xfId="1" applyFont="1" applyBorder="1" applyAlignment="1" applyProtection="1">
      <alignment vertical="center" wrapText="1"/>
      <protection locked="0"/>
    </xf>
    <xf numFmtId="0" fontId="16" fillId="0" borderId="5" xfId="0" quotePrefix="1" applyFont="1" applyBorder="1" applyAlignment="1">
      <alignment vertical="center"/>
    </xf>
    <xf numFmtId="164" fontId="6" fillId="0" borderId="4" xfId="1" applyNumberFormat="1" applyFont="1" applyBorder="1" applyAlignment="1" applyProtection="1">
      <alignment horizontal="left" vertical="center"/>
      <protection locked="0"/>
    </xf>
    <xf numFmtId="14" fontId="3" fillId="0" borderId="0" xfId="1" applyNumberFormat="1" applyFont="1" applyProtection="1">
      <protection locked="0"/>
    </xf>
    <xf numFmtId="0" fontId="10" fillId="0" borderId="3" xfId="1" applyFont="1" applyBorder="1" applyAlignment="1" applyProtection="1">
      <alignment vertical="center"/>
      <protection locked="0" hidden="1"/>
    </xf>
    <xf numFmtId="0" fontId="10" fillId="3" borderId="15" xfId="1" applyFont="1" applyFill="1" applyBorder="1" applyAlignment="1" applyProtection="1">
      <alignment vertical="center"/>
      <protection locked="0"/>
    </xf>
    <xf numFmtId="0" fontId="10" fillId="3" borderId="3" xfId="1" applyFont="1" applyFill="1" applyBorder="1" applyAlignment="1" applyProtection="1">
      <alignment vertical="center"/>
      <protection locked="0"/>
    </xf>
    <xf numFmtId="0" fontId="6" fillId="0" borderId="6" xfId="1" quotePrefix="1" applyFont="1" applyBorder="1" applyAlignment="1" applyProtection="1">
      <alignment horizontal="left" vertical="center"/>
      <protection locked="0"/>
    </xf>
    <xf numFmtId="0" fontId="10" fillId="0" borderId="3" xfId="1" applyFont="1" applyBorder="1" applyAlignment="1" applyProtection="1">
      <alignment vertical="center" wrapText="1"/>
      <protection locked="0"/>
    </xf>
    <xf numFmtId="0" fontId="6" fillId="0" borderId="1" xfId="1" applyFont="1" applyBorder="1" applyAlignment="1" applyProtection="1">
      <alignment horizontal="left" vertical="center"/>
      <protection locked="0"/>
    </xf>
    <xf numFmtId="0" fontId="6" fillId="0" borderId="5" xfId="1" applyFont="1" applyBorder="1" applyAlignment="1" applyProtection="1">
      <alignment horizontal="left" vertical="center"/>
      <protection locked="0"/>
    </xf>
    <xf numFmtId="0" fontId="6" fillId="0" borderId="5" xfId="1" applyFont="1" applyBorder="1" applyAlignment="1" applyProtection="1">
      <alignment vertical="center"/>
      <protection hidden="1"/>
    </xf>
    <xf numFmtId="0" fontId="11" fillId="0" borderId="5" xfId="1" applyFont="1" applyBorder="1" applyAlignment="1" applyProtection="1">
      <alignment vertical="center"/>
      <protection hidden="1"/>
    </xf>
    <xf numFmtId="0" fontId="6" fillId="4" borderId="4" xfId="1" applyFont="1" applyFill="1" applyBorder="1" applyAlignment="1" applyProtection="1">
      <alignment horizontal="left" vertical="center"/>
      <protection locked="0"/>
    </xf>
    <xf numFmtId="0" fontId="6" fillId="4" borderId="6" xfId="1" applyFont="1" applyFill="1" applyBorder="1" applyAlignment="1" applyProtection="1">
      <alignment horizontal="left" vertical="center"/>
      <protection locked="0"/>
    </xf>
    <xf numFmtId="0" fontId="3" fillId="0" borderId="0" xfId="1" applyFont="1"/>
    <xf numFmtId="0" fontId="4" fillId="0" borderId="0" xfId="1" applyFont="1" applyAlignment="1">
      <alignment horizontal="left"/>
    </xf>
    <xf numFmtId="0" fontId="7" fillId="0" borderId="0" xfId="1" applyFont="1"/>
    <xf numFmtId="14" fontId="3" fillId="0" borderId="0" xfId="1" applyNumberFormat="1" applyFont="1"/>
    <xf numFmtId="0" fontId="19" fillId="0" borderId="0" xfId="0" applyFont="1"/>
    <xf numFmtId="0" fontId="13" fillId="0" borderId="0" xfId="1" applyFont="1" applyProtection="1">
      <protection locked="0"/>
    </xf>
    <xf numFmtId="0" fontId="3" fillId="0" borderId="0" xfId="1" applyFont="1" applyAlignment="1" applyProtection="1">
      <alignment wrapText="1"/>
      <protection locked="0"/>
    </xf>
    <xf numFmtId="0" fontId="11" fillId="0" borderId="1" xfId="1" applyFont="1" applyBorder="1" applyAlignment="1" applyProtection="1">
      <alignment vertical="center"/>
      <protection locked="0" hidden="1"/>
    </xf>
    <xf numFmtId="0" fontId="2" fillId="0" borderId="3" xfId="1" applyFont="1" applyBorder="1" applyAlignment="1" applyProtection="1">
      <alignment vertical="center"/>
      <protection locked="0" hidden="1"/>
    </xf>
    <xf numFmtId="0" fontId="3" fillId="2" borderId="1" xfId="1" applyFont="1" applyFill="1" applyBorder="1" applyAlignment="1" applyProtection="1">
      <alignment horizontal="center"/>
      <protection locked="0"/>
    </xf>
    <xf numFmtId="0" fontId="2" fillId="2" borderId="1" xfId="1" applyFont="1" applyFill="1" applyBorder="1" applyAlignment="1" applyProtection="1">
      <alignment horizontal="center"/>
      <protection locked="0"/>
    </xf>
    <xf numFmtId="0" fontId="6" fillId="0" borderId="1" xfId="1" applyFont="1" applyBorder="1" applyAlignment="1" applyProtection="1">
      <alignment horizontal="left" vertical="center" wrapText="1"/>
      <protection locked="0"/>
    </xf>
    <xf numFmtId="0" fontId="2" fillId="0" borderId="17" xfId="1" applyFont="1" applyBorder="1" applyAlignment="1" applyProtection="1">
      <alignment vertical="center"/>
      <protection locked="0"/>
    </xf>
    <xf numFmtId="0" fontId="3" fillId="0" borderId="18" xfId="1" applyFont="1" applyBorder="1" applyProtection="1">
      <protection locked="0"/>
    </xf>
    <xf numFmtId="0" fontId="3" fillId="0" borderId="19" xfId="1" applyFont="1" applyBorder="1" applyProtection="1">
      <protection locked="0"/>
    </xf>
    <xf numFmtId="0" fontId="3" fillId="0" borderId="16" xfId="1" applyFont="1" applyBorder="1" applyProtection="1">
      <protection locked="0"/>
    </xf>
    <xf numFmtId="0" fontId="3" fillId="0" borderId="17" xfId="1" applyFont="1" applyBorder="1" applyProtection="1">
      <protection locked="0"/>
    </xf>
    <xf numFmtId="0" fontId="3" fillId="0" borderId="13" xfId="1" applyFont="1" applyBorder="1"/>
    <xf numFmtId="0" fontId="3" fillId="0" borderId="14" xfId="1" applyFont="1" applyBorder="1"/>
    <xf numFmtId="0" fontId="4" fillId="0" borderId="14" xfId="1" applyFont="1" applyBorder="1" applyAlignment="1">
      <alignment horizontal="left"/>
    </xf>
    <xf numFmtId="0" fontId="3" fillId="0" borderId="5" xfId="1" applyFont="1" applyBorder="1"/>
    <xf numFmtId="0" fontId="1" fillId="0" borderId="1" xfId="1" applyBorder="1"/>
    <xf numFmtId="0" fontId="3" fillId="0" borderId="1" xfId="1" applyFont="1" applyBorder="1" applyAlignment="1" applyProtection="1">
      <alignment horizontal="center"/>
      <protection locked="0"/>
    </xf>
    <xf numFmtId="0" fontId="2" fillId="0" borderId="1" xfId="1" applyFont="1" applyBorder="1" applyAlignment="1" applyProtection="1">
      <alignment horizontal="center"/>
      <protection locked="0"/>
    </xf>
    <xf numFmtId="0" fontId="3" fillId="0" borderId="1" xfId="1" applyFont="1" applyBorder="1" applyAlignment="1" applyProtection="1">
      <alignment wrapText="1"/>
      <protection locked="0"/>
    </xf>
    <xf numFmtId="0" fontId="13" fillId="0" borderId="1" xfId="1" applyFont="1" applyBorder="1" applyProtection="1">
      <protection locked="0"/>
    </xf>
    <xf numFmtId="0" fontId="16" fillId="0" borderId="1" xfId="0" applyFont="1" applyBorder="1" applyProtection="1">
      <protection locked="0"/>
    </xf>
    <xf numFmtId="0" fontId="14" fillId="0" borderId="5" xfId="1" applyFont="1" applyBorder="1" applyAlignment="1" applyProtection="1">
      <alignment vertical="center"/>
      <protection locked="0" hidden="1"/>
    </xf>
    <xf numFmtId="0" fontId="10" fillId="3" borderId="5" xfId="1" applyFont="1" applyFill="1" applyBorder="1" applyAlignment="1" applyProtection="1">
      <alignment vertical="center"/>
      <protection locked="0"/>
    </xf>
    <xf numFmtId="0" fontId="11" fillId="0" borderId="1" xfId="1" applyFont="1" applyBorder="1" applyAlignment="1" applyProtection="1">
      <alignment vertical="center"/>
      <protection hidden="1"/>
    </xf>
    <xf numFmtId="0" fontId="16" fillId="0" borderId="1" xfId="0" applyFont="1" applyBorder="1"/>
    <xf numFmtId="0" fontId="6" fillId="0" borderId="0" xfId="1" applyFont="1" applyAlignment="1" applyProtection="1">
      <alignment vertical="center"/>
      <protection locked="0" hidden="1"/>
    </xf>
    <xf numFmtId="165" fontId="6" fillId="0" borderId="4" xfId="1" applyNumberFormat="1" applyFont="1" applyBorder="1" applyAlignment="1" applyProtection="1">
      <alignment horizontal="left" vertical="center"/>
      <protection locked="0"/>
    </xf>
    <xf numFmtId="0" fontId="6" fillId="0" borderId="4" xfId="1" applyFont="1" applyBorder="1" applyAlignment="1" applyProtection="1">
      <alignment vertical="center" wrapText="1"/>
      <protection locked="0"/>
    </xf>
    <xf numFmtId="0" fontId="6" fillId="4" borderId="1" xfId="1" applyFont="1" applyFill="1" applyBorder="1" applyAlignment="1" applyProtection="1">
      <alignment horizontal="left" vertical="center"/>
      <protection locked="0"/>
    </xf>
    <xf numFmtId="0" fontId="14" fillId="0" borderId="4" xfId="1" applyFont="1" applyBorder="1" applyAlignment="1" applyProtection="1">
      <alignment vertical="center" wrapText="1"/>
      <protection locked="0"/>
    </xf>
    <xf numFmtId="0" fontId="6" fillId="0" borderId="4" xfId="1" applyFont="1" applyBorder="1" applyAlignment="1" applyProtection="1">
      <alignment vertical="center"/>
      <protection locked="0"/>
    </xf>
    <xf numFmtId="0" fontId="6" fillId="0" borderId="4" xfId="1" quotePrefix="1" applyFont="1" applyBorder="1" applyAlignment="1" applyProtection="1">
      <alignment vertical="center"/>
      <protection locked="0"/>
    </xf>
    <xf numFmtId="0" fontId="6" fillId="4" borderId="4" xfId="1" applyFont="1" applyFill="1" applyBorder="1" applyAlignment="1" applyProtection="1">
      <alignment vertical="center"/>
      <protection locked="0"/>
    </xf>
    <xf numFmtId="0" fontId="16" fillId="0" borderId="4" xfId="0" quotePrefix="1" applyFont="1" applyBorder="1" applyAlignment="1" applyProtection="1">
      <alignment vertical="center"/>
      <protection locked="0"/>
    </xf>
    <xf numFmtId="0" fontId="6" fillId="0" borderId="4" xfId="1" applyFont="1" applyBorder="1" applyAlignment="1" applyProtection="1">
      <alignment vertical="center"/>
      <protection hidden="1"/>
    </xf>
    <xf numFmtId="0" fontId="14" fillId="0" borderId="4" xfId="1" applyFont="1" applyBorder="1" applyAlignment="1" applyProtection="1">
      <alignment vertical="center"/>
      <protection hidden="1"/>
    </xf>
    <xf numFmtId="0" fontId="11" fillId="0" borderId="4" xfId="1" applyFont="1" applyBorder="1" applyAlignment="1" applyProtection="1">
      <alignment vertical="center"/>
      <protection hidden="1"/>
    </xf>
    <xf numFmtId="0" fontId="6" fillId="0" borderId="4" xfId="1" quotePrefix="1" applyFont="1" applyBorder="1" applyAlignment="1" applyProtection="1">
      <alignment vertical="center"/>
      <protection hidden="1"/>
    </xf>
    <xf numFmtId="0" fontId="6" fillId="0" borderId="1" xfId="1" applyFont="1" applyBorder="1" applyAlignment="1" applyProtection="1">
      <alignment vertical="center"/>
      <protection hidden="1"/>
    </xf>
    <xf numFmtId="0" fontId="12" fillId="0" borderId="4" xfId="1" applyFont="1" applyBorder="1" applyAlignment="1" applyProtection="1">
      <alignment vertical="center"/>
      <protection hidden="1"/>
    </xf>
    <xf numFmtId="0" fontId="6" fillId="4" borderId="4" xfId="1" applyFont="1" applyFill="1" applyBorder="1" applyAlignment="1" applyProtection="1">
      <alignment vertical="center"/>
      <protection locked="0" hidden="1"/>
    </xf>
    <xf numFmtId="0" fontId="14" fillId="0" borderId="1" xfId="1" applyFont="1" applyBorder="1" applyAlignment="1" applyProtection="1">
      <alignment vertical="center"/>
      <protection hidden="1"/>
    </xf>
    <xf numFmtId="0" fontId="14" fillId="0" borderId="4" xfId="1" applyFont="1" applyBorder="1" applyAlignment="1" applyProtection="1">
      <alignment vertical="center"/>
      <protection locked="0" hidden="1"/>
    </xf>
    <xf numFmtId="0" fontId="3" fillId="0" borderId="12" xfId="1" applyFont="1" applyBorder="1" applyAlignment="1" applyProtection="1">
      <alignment horizontal="center"/>
      <protection locked="0"/>
    </xf>
    <xf numFmtId="0" fontId="1" fillId="0" borderId="12" xfId="1" applyBorder="1"/>
    <xf numFmtId="0" fontId="6" fillId="0" borderId="20" xfId="1" applyFont="1" applyBorder="1" applyAlignment="1">
      <alignment vertical="center"/>
    </xf>
    <xf numFmtId="0" fontId="11" fillId="0" borderId="20" xfId="1" applyFont="1" applyBorder="1" applyAlignment="1" applyProtection="1">
      <alignment vertical="center"/>
      <protection hidden="1"/>
    </xf>
    <xf numFmtId="0" fontId="12" fillId="0" borderId="1" xfId="1" applyFont="1" applyBorder="1" applyAlignment="1" applyProtection="1">
      <alignment vertical="center" wrapText="1"/>
      <protection hidden="1"/>
    </xf>
    <xf numFmtId="0" fontId="12" fillId="0" borderId="5" xfId="1" applyFont="1" applyBorder="1" applyAlignment="1" applyProtection="1">
      <alignment vertical="center" wrapText="1"/>
      <protection hidden="1"/>
    </xf>
    <xf numFmtId="0" fontId="2" fillId="2" borderId="4" xfId="1" applyFont="1" applyFill="1" applyBorder="1" applyAlignment="1" applyProtection="1">
      <alignment horizontal="center" wrapText="1"/>
      <protection locked="0"/>
    </xf>
    <xf numFmtId="0" fontId="1" fillId="0" borderId="4" xfId="1" applyBorder="1" applyAlignment="1">
      <alignment wrapText="1"/>
    </xf>
    <xf numFmtId="0" fontId="11" fillId="0" borderId="5" xfId="1" applyFont="1" applyBorder="1" applyAlignment="1" applyProtection="1">
      <alignment vertical="center" wrapText="1"/>
      <protection locked="0"/>
    </xf>
    <xf numFmtId="0" fontId="6" fillId="0" borderId="4" xfId="1" applyFont="1" applyBorder="1" applyAlignment="1" applyProtection="1">
      <alignment vertical="center" wrapText="1"/>
      <protection locked="0" hidden="1"/>
    </xf>
    <xf numFmtId="0" fontId="3" fillId="0" borderId="0" xfId="1" applyFont="1" applyAlignment="1">
      <alignment wrapText="1"/>
    </xf>
    <xf numFmtId="0" fontId="2" fillId="2" borderId="1" xfId="1" applyFont="1" applyFill="1" applyBorder="1" applyAlignment="1" applyProtection="1">
      <alignment horizontal="center" wrapText="1"/>
      <protection locked="0"/>
    </xf>
    <xf numFmtId="0" fontId="1" fillId="0" borderId="1" xfId="1" applyBorder="1" applyAlignment="1">
      <alignment wrapText="1"/>
    </xf>
    <xf numFmtId="0" fontId="10" fillId="0" borderId="1" xfId="1" applyFont="1" applyBorder="1" applyAlignment="1">
      <alignment horizontal="left"/>
    </xf>
    <xf numFmtId="0" fontId="22" fillId="0" borderId="1" xfId="1" applyFont="1" applyBorder="1"/>
    <xf numFmtId="0" fontId="23" fillId="0" borderId="1" xfId="1" applyFont="1" applyBorder="1"/>
    <xf numFmtId="0" fontId="3" fillId="2" borderId="1" xfId="1" applyFont="1" applyFill="1" applyBorder="1" applyAlignment="1">
      <alignment horizontal="center" vertical="center"/>
    </xf>
    <xf numFmtId="0" fontId="24" fillId="0" borderId="0" xfId="1" applyFont="1"/>
    <xf numFmtId="0" fontId="21" fillId="0" borderId="1" xfId="1" applyFont="1" applyBorder="1" applyProtection="1">
      <protection locked="0"/>
    </xf>
    <xf numFmtId="0" fontId="3" fillId="0" borderId="10" xfId="1" applyFont="1" applyBorder="1" applyAlignment="1" applyProtection="1">
      <alignment horizontal="center" vertical="center"/>
      <protection locked="0" hidden="1"/>
    </xf>
    <xf numFmtId="0" fontId="3" fillId="0" borderId="10" xfId="1" quotePrefix="1" applyFont="1" applyBorder="1" applyAlignment="1" applyProtection="1">
      <alignment horizontal="center" vertical="center"/>
      <protection locked="0" hidden="1"/>
    </xf>
    <xf numFmtId="0" fontId="4" fillId="0" borderId="0" xfId="1" applyFont="1" applyProtection="1">
      <protection locked="0"/>
    </xf>
    <xf numFmtId="0" fontId="13" fillId="0" borderId="0" xfId="1" applyFont="1" applyProtection="1">
      <protection locked="0" hidden="1"/>
    </xf>
    <xf numFmtId="0" fontId="13" fillId="0" borderId="10" xfId="1" applyFont="1" applyBorder="1" applyProtection="1">
      <protection locked="0" hidden="1"/>
    </xf>
    <xf numFmtId="0" fontId="13" fillId="0" borderId="10" xfId="1" quotePrefix="1" applyFont="1" applyBorder="1" applyProtection="1">
      <protection locked="0" hidden="1"/>
    </xf>
    <xf numFmtId="0" fontId="25" fillId="0" borderId="0" xfId="0" applyFont="1"/>
    <xf numFmtId="0" fontId="26" fillId="0" borderId="0" xfId="3" applyAlignment="1">
      <alignment vertical="top"/>
    </xf>
    <xf numFmtId="0" fontId="29" fillId="0" borderId="0" xfId="3" applyFont="1" applyAlignment="1">
      <alignment vertical="top"/>
    </xf>
    <xf numFmtId="0" fontId="30" fillId="0" borderId="10" xfId="3" applyFont="1" applyBorder="1" applyAlignment="1">
      <alignment horizontal="center" vertical="center"/>
    </xf>
    <xf numFmtId="0" fontId="31" fillId="0" borderId="10" xfId="3" applyFont="1" applyBorder="1" applyAlignment="1">
      <alignment horizontal="center" vertical="center" wrapText="1"/>
    </xf>
    <xf numFmtId="0" fontId="31" fillId="2" borderId="10" xfId="3" applyFont="1" applyFill="1" applyBorder="1" applyAlignment="1">
      <alignment horizontal="center" vertical="center" wrapText="1"/>
    </xf>
    <xf numFmtId="0" fontId="32" fillId="2" borderId="10" xfId="3" applyFont="1" applyFill="1" applyBorder="1" applyAlignment="1">
      <alignment horizontal="center" vertical="center" wrapText="1"/>
    </xf>
    <xf numFmtId="0" fontId="29" fillId="0" borderId="10" xfId="3" applyFont="1" applyBorder="1" applyAlignment="1">
      <alignment horizontal="center" vertical="center"/>
    </xf>
    <xf numFmtId="0" fontId="33" fillId="5" borderId="10" xfId="3" applyFont="1" applyFill="1" applyBorder="1" applyAlignment="1">
      <alignment horizontal="center" vertical="center" wrapText="1"/>
    </xf>
    <xf numFmtId="0" fontId="35" fillId="0" borderId="2" xfId="0" applyFont="1" applyBorder="1" applyAlignment="1">
      <alignment horizontal="center"/>
    </xf>
    <xf numFmtId="0" fontId="35" fillId="0" borderId="19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8" fillId="0" borderId="10" xfId="0" applyFont="1" applyBorder="1"/>
    <xf numFmtId="0" fontId="8" fillId="0" borderId="10" xfId="0" quotePrefix="1" applyFont="1" applyBorder="1" applyAlignment="1">
      <alignment horizontal="center"/>
    </xf>
    <xf numFmtId="0" fontId="8" fillId="0" borderId="10" xfId="0" applyFont="1" applyBorder="1" applyAlignment="1">
      <alignment horizontal="left" vertical="center"/>
    </xf>
    <xf numFmtId="0" fontId="8" fillId="0" borderId="10" xfId="0" quotePrefix="1" applyFont="1" applyBorder="1" applyAlignment="1">
      <alignment horizontal="center" vertical="center"/>
    </xf>
    <xf numFmtId="0" fontId="8" fillId="0" borderId="10" xfId="0" applyFont="1" applyBorder="1" applyAlignment="1">
      <alignment horizontal="right" vertical="center"/>
    </xf>
    <xf numFmtId="3" fontId="8" fillId="0" borderId="10" xfId="0" applyNumberFormat="1" applyFont="1" applyBorder="1" applyAlignment="1">
      <alignment horizontal="right" wrapText="1"/>
    </xf>
    <xf numFmtId="0" fontId="8" fillId="0" borderId="10" xfId="0" applyFont="1" applyBorder="1" applyAlignment="1">
      <alignment wrapText="1"/>
    </xf>
    <xf numFmtId="3" fontId="8" fillId="0" borderId="10" xfId="0" quotePrefix="1" applyNumberFormat="1" applyFont="1" applyBorder="1" applyAlignment="1">
      <alignment horizontal="right"/>
    </xf>
    <xf numFmtId="0" fontId="8" fillId="2" borderId="10" xfId="0" applyFont="1" applyFill="1" applyBorder="1"/>
    <xf numFmtId="0" fontId="8" fillId="2" borderId="10" xfId="0" applyFont="1" applyFill="1" applyBorder="1" applyAlignment="1">
      <alignment horizontal="center"/>
    </xf>
    <xf numFmtId="0" fontId="34" fillId="2" borderId="0" xfId="0" applyFont="1" applyFill="1" applyAlignment="1">
      <alignment wrapText="1"/>
    </xf>
    <xf numFmtId="0" fontId="8" fillId="0" borderId="10" xfId="0" applyFont="1" applyBorder="1" applyAlignment="1">
      <alignment horizontal="center"/>
    </xf>
    <xf numFmtId="0" fontId="36" fillId="0" borderId="10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3" xfId="1" applyFont="1" applyFill="1" applyBorder="1" applyAlignment="1" applyProtection="1">
      <alignment horizontal="center" vertical="center"/>
      <protection locked="0"/>
    </xf>
    <xf numFmtId="0" fontId="20" fillId="0" borderId="7" xfId="1" applyFont="1" applyBorder="1" applyAlignment="1" applyProtection="1">
      <alignment horizontal="center" vertical="center"/>
      <protection locked="0" hidden="1"/>
    </xf>
    <xf numFmtId="0" fontId="20" fillId="0" borderId="15" xfId="1" applyFont="1" applyBorder="1" applyAlignment="1" applyProtection="1">
      <alignment horizontal="center" vertical="center"/>
      <protection locked="0" hidden="1"/>
    </xf>
    <xf numFmtId="0" fontId="20" fillId="0" borderId="3" xfId="1" applyFont="1" applyBorder="1" applyAlignment="1" applyProtection="1">
      <alignment horizontal="center" vertical="center"/>
      <protection locked="0" hidden="1"/>
    </xf>
    <xf numFmtId="0" fontId="14" fillId="0" borderId="13" xfId="1" applyFont="1" applyBorder="1" applyAlignment="1" applyProtection="1">
      <alignment horizontal="center" vertical="center"/>
      <protection locked="0" hidden="1"/>
    </xf>
    <xf numFmtId="0" fontId="14" fillId="0" borderId="14" xfId="1" applyFont="1" applyBorder="1" applyAlignment="1" applyProtection="1">
      <alignment horizontal="center" vertical="center"/>
      <protection locked="0" hidden="1"/>
    </xf>
    <xf numFmtId="0" fontId="14" fillId="0" borderId="5" xfId="1" applyFont="1" applyBorder="1" applyAlignment="1" applyProtection="1">
      <alignment horizontal="center" vertical="center"/>
      <protection locked="0" hidden="1"/>
    </xf>
    <xf numFmtId="0" fontId="27" fillId="0" borderId="0" xfId="3" applyFont="1" applyAlignment="1">
      <alignment horizontal="center" vertical="top"/>
    </xf>
    <xf numFmtId="0" fontId="28" fillId="0" borderId="10" xfId="3" applyFont="1" applyBorder="1" applyAlignment="1">
      <alignment horizontal="center" vertical="center"/>
    </xf>
  </cellXfs>
  <cellStyles count="4">
    <cellStyle name="Hyperlink" xfId="2" builtinId="8"/>
    <cellStyle name="Normal" xfId="0" builtinId="0"/>
    <cellStyle name="Normal 2" xfId="1" xr:uid="{00000000-0005-0000-0000-000001000000}"/>
    <cellStyle name="Normal 3" xfId="3" xr:uid="{8DE93B1A-3C96-48F9-8AFE-2B2CC4CC5158}"/>
  </cellStyles>
  <dxfs count="18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FF112D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fgColor rgb="FFFF7C80"/>
          <bgColor rgb="FFFFC7CE"/>
        </patternFill>
      </fill>
    </dxf>
    <dxf>
      <font>
        <b/>
        <i val="0"/>
        <color theme="0"/>
      </font>
      <fill>
        <patternFill>
          <bgColor rgb="FFFF112D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FF112D"/>
      <color rgb="FFFE001E"/>
      <color rgb="FFFF374F"/>
      <color rgb="FFFF6D7E"/>
      <color rgb="FF99FF33"/>
      <color rgb="FFFFC7CE"/>
      <color rgb="FFFF7C80"/>
      <color rgb="FFFF2D2D"/>
      <color rgb="FFFF99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ng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hng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525"/>
  <sheetViews>
    <sheetView tabSelected="1" zoomScale="87" zoomScaleNormal="82" workbookViewId="0">
      <selection activeCell="D2" sqref="D2"/>
    </sheetView>
  </sheetViews>
  <sheetFormatPr defaultColWidth="9.109375" defaultRowHeight="14.4" x14ac:dyDescent="0.3"/>
  <cols>
    <col min="1" max="1" width="13.44140625" style="4" customWidth="1"/>
    <col min="2" max="2" width="16.109375" style="4" customWidth="1"/>
    <col min="3" max="3" width="50.44140625" style="12" customWidth="1"/>
    <col min="4" max="4" width="40.6640625" style="6" customWidth="1"/>
    <col min="5" max="5" width="39.21875" style="4" customWidth="1"/>
    <col min="6" max="6" width="19.6640625" style="4" customWidth="1"/>
    <col min="7" max="7" width="9.109375" style="60" customWidth="1"/>
    <col min="8" max="8" width="31.109375" style="60" bestFit="1" customWidth="1"/>
    <col min="9" max="9" width="17.44140625" style="60" bestFit="1" customWidth="1"/>
    <col min="10" max="10" width="9.109375" style="60"/>
    <col min="11" max="11" width="9.6640625" style="60" bestFit="1" customWidth="1"/>
    <col min="12" max="15" width="9.109375" style="60"/>
    <col min="16" max="16384" width="9.109375" style="4"/>
  </cols>
  <sheetData>
    <row r="1" spans="1:6" ht="16.2" thickBot="1" x14ac:dyDescent="0.35">
      <c r="A1" s="163" t="s">
        <v>711</v>
      </c>
      <c r="B1" s="164"/>
      <c r="C1" s="164"/>
      <c r="D1" s="164"/>
      <c r="E1" s="165"/>
    </row>
    <row r="2" spans="1:6" ht="15" thickBot="1" x14ac:dyDescent="0.35">
      <c r="A2" s="1" t="s">
        <v>3</v>
      </c>
      <c r="B2" s="1" t="s">
        <v>566</v>
      </c>
      <c r="C2" s="68" t="s">
        <v>0</v>
      </c>
      <c r="D2" s="37" t="s">
        <v>1</v>
      </c>
      <c r="E2" s="29" t="s">
        <v>2</v>
      </c>
      <c r="F2" s="85" t="s">
        <v>565</v>
      </c>
    </row>
    <row r="3" spans="1:6" ht="43.8" thickBot="1" x14ac:dyDescent="0.35">
      <c r="A3" s="69">
        <v>1</v>
      </c>
      <c r="B3" s="81" t="s">
        <v>4</v>
      </c>
      <c r="C3" s="49" t="s">
        <v>640</v>
      </c>
      <c r="D3" s="9">
        <v>11024</v>
      </c>
      <c r="E3" s="57">
        <f>IF(D3&gt;0,(VLOOKUP(D3,$A$106:$B$115,2)),("Ref Vendor code is must"))</f>
        <v>106000</v>
      </c>
      <c r="F3" s="84" t="s">
        <v>641</v>
      </c>
    </row>
    <row r="4" spans="1:6" ht="15" thickBot="1" x14ac:dyDescent="0.35">
      <c r="A4" s="70">
        <v>2</v>
      </c>
      <c r="B4" s="81" t="s">
        <v>6</v>
      </c>
      <c r="C4" s="30" t="s">
        <v>550</v>
      </c>
      <c r="D4" s="94" t="s">
        <v>7</v>
      </c>
      <c r="E4" s="89" t="str">
        <f>IF(ISBLANK(D4),"Select from the list",VLOOKUP(D4,$A$448:$B$522,2,0))</f>
        <v>Radico Khaitan Ltd</v>
      </c>
      <c r="F4" s="60"/>
    </row>
    <row r="5" spans="1:6" ht="15" thickBot="1" x14ac:dyDescent="0.35">
      <c r="A5" s="69">
        <v>3</v>
      </c>
      <c r="B5" s="81" t="s">
        <v>8</v>
      </c>
      <c r="C5" s="30" t="s">
        <v>549</v>
      </c>
      <c r="D5" s="94" t="s">
        <v>9</v>
      </c>
      <c r="E5" s="89" t="str">
        <f>IF(ISBLANK(D5),"Select from the list",VLOOKUP(D5,$A$249:$B$447,2,0))</f>
        <v>RADICO KHAITAN LIMITED, RAMPUR</v>
      </c>
      <c r="F5" s="60"/>
    </row>
    <row r="6" spans="1:6" ht="21.6" customHeight="1" thickBot="1" x14ac:dyDescent="0.35">
      <c r="A6" s="70">
        <v>4</v>
      </c>
      <c r="B6" s="81" t="s">
        <v>10</v>
      </c>
      <c r="C6" s="39" t="s">
        <v>548</v>
      </c>
      <c r="D6" s="93" t="s">
        <v>647</v>
      </c>
      <c r="E6" s="102" t="str">
        <f>IF(ISBLANK(D6),"Name required",IF(LEN(D6)&gt;35,"Use name2 field for balance letters above 35 letters"," "))</f>
        <v xml:space="preserve"> </v>
      </c>
      <c r="F6" s="60"/>
    </row>
    <row r="7" spans="1:6" ht="15" thickBot="1" x14ac:dyDescent="0.35">
      <c r="A7" s="82">
        <v>5</v>
      </c>
      <c r="B7" s="81" t="s">
        <v>11</v>
      </c>
      <c r="C7" s="40" t="s">
        <v>12</v>
      </c>
      <c r="D7" s="28" t="s">
        <v>578</v>
      </c>
      <c r="E7" s="102" t="str">
        <f>IF(LEN(D7)&gt;40,"Not to enter above 40 letters"," ")</f>
        <v xml:space="preserve"> </v>
      </c>
      <c r="F7" s="60"/>
    </row>
    <row r="8" spans="1:6" ht="15" thickBot="1" x14ac:dyDescent="0.35">
      <c r="A8" s="70">
        <v>6</v>
      </c>
      <c r="B8" s="81" t="s">
        <v>13</v>
      </c>
      <c r="C8" s="41" t="s">
        <v>547</v>
      </c>
      <c r="D8" s="95" t="s">
        <v>583</v>
      </c>
      <c r="E8" s="102" t="str">
        <f>IF(LEN(D8)&gt;40,"Not to enter above 40 letters"," ")</f>
        <v xml:space="preserve"> </v>
      </c>
      <c r="F8" s="60"/>
    </row>
    <row r="9" spans="1:6" ht="15" thickBot="1" x14ac:dyDescent="0.35">
      <c r="A9" s="82">
        <v>7</v>
      </c>
      <c r="B9" s="81" t="s">
        <v>14</v>
      </c>
      <c r="C9" s="42" t="s">
        <v>15</v>
      </c>
      <c r="D9" s="95" t="s">
        <v>582</v>
      </c>
      <c r="E9" s="102" t="str">
        <f>IF(LEN(D9)&gt;40,"Not to enter above 40 letters"," ")</f>
        <v xml:space="preserve"> </v>
      </c>
      <c r="F9" s="60"/>
    </row>
    <row r="10" spans="1:6" ht="15" thickBot="1" x14ac:dyDescent="0.35">
      <c r="A10" s="83">
        <v>8</v>
      </c>
      <c r="B10" s="81" t="s">
        <v>16</v>
      </c>
      <c r="C10" s="42" t="s">
        <v>17</v>
      </c>
      <c r="D10" s="96"/>
      <c r="E10" s="102" t="str">
        <f>IF(LEN(D10)&gt;40,"Not to enter above 40 letters"," ")</f>
        <v xml:space="preserve"> </v>
      </c>
      <c r="F10" s="60"/>
    </row>
    <row r="11" spans="1:6" ht="15" thickBot="1" x14ac:dyDescent="0.35">
      <c r="A11" s="69">
        <v>9</v>
      </c>
      <c r="B11" s="81" t="s">
        <v>18</v>
      </c>
      <c r="C11" s="41" t="s">
        <v>546</v>
      </c>
      <c r="D11" s="96" t="s">
        <v>580</v>
      </c>
      <c r="E11" s="100" t="str">
        <f>IF((ISBLANK(D11)),"Must Enter"," ")</f>
        <v xml:space="preserve"> </v>
      </c>
      <c r="F11" s="60"/>
    </row>
    <row r="12" spans="1:6" ht="15" thickBot="1" x14ac:dyDescent="0.35">
      <c r="A12" s="70">
        <v>10</v>
      </c>
      <c r="B12" s="81" t="s">
        <v>19</v>
      </c>
      <c r="C12" s="41" t="s">
        <v>545</v>
      </c>
      <c r="D12" s="97">
        <v>262722</v>
      </c>
      <c r="E12" s="103" t="str">
        <f>IF(OR(LEN(D12)&lt;6,LEN(D12)&gt;6),"Only 6 Digits without space"," ")</f>
        <v xml:space="preserve"> </v>
      </c>
      <c r="F12" s="60"/>
    </row>
    <row r="13" spans="1:6" ht="15" thickBot="1" x14ac:dyDescent="0.35">
      <c r="A13" s="82">
        <v>11</v>
      </c>
      <c r="B13" s="81" t="s">
        <v>20</v>
      </c>
      <c r="C13" s="42" t="s">
        <v>544</v>
      </c>
      <c r="D13" s="96" t="s">
        <v>581</v>
      </c>
      <c r="E13" s="100" t="str">
        <f>IF((D13=D11),"Same as city, Leave Blank","")</f>
        <v/>
      </c>
      <c r="F13" s="60"/>
    </row>
    <row r="14" spans="1:6" ht="15" thickBot="1" x14ac:dyDescent="0.35">
      <c r="A14" s="70">
        <v>12</v>
      </c>
      <c r="B14" s="81" t="s">
        <v>22</v>
      </c>
      <c r="C14" s="41" t="s">
        <v>551</v>
      </c>
      <c r="D14" s="98" t="s">
        <v>182</v>
      </c>
      <c r="E14" s="100" t="str">
        <f>VLOOKUP(D14,$A$166:$B$201,2,0)</f>
        <v>Uttar Pradesh</v>
      </c>
      <c r="F14" s="60"/>
    </row>
    <row r="15" spans="1:6" ht="15" thickBot="1" x14ac:dyDescent="0.35">
      <c r="A15" s="82">
        <v>13</v>
      </c>
      <c r="B15" s="81" t="s">
        <v>27</v>
      </c>
      <c r="C15" s="42" t="s">
        <v>26</v>
      </c>
      <c r="D15" s="96">
        <v>9988877711</v>
      </c>
      <c r="E15" s="103" t="str">
        <f>IF(OR(LEN(D15)&lt;10,LEN(D15)&gt;10),"Only 10 Digits without space"," ")</f>
        <v xml:space="preserve"> </v>
      </c>
      <c r="F15" s="60"/>
    </row>
    <row r="16" spans="1:6" ht="15" thickBot="1" x14ac:dyDescent="0.35">
      <c r="A16" s="83">
        <v>14</v>
      </c>
      <c r="B16" s="81" t="s">
        <v>25</v>
      </c>
      <c r="C16" s="43" t="s">
        <v>28</v>
      </c>
      <c r="D16" s="97"/>
      <c r="E16" s="104"/>
      <c r="F16" s="60"/>
    </row>
    <row r="17" spans="1:15" ht="15" thickBot="1" x14ac:dyDescent="0.35">
      <c r="A17" s="82">
        <v>15</v>
      </c>
      <c r="B17" s="81" t="s">
        <v>29</v>
      </c>
      <c r="C17" s="42" t="s">
        <v>30</v>
      </c>
      <c r="D17" s="96" t="s">
        <v>644</v>
      </c>
      <c r="E17" s="104"/>
      <c r="F17" s="60"/>
    </row>
    <row r="18" spans="1:15" ht="15" thickBot="1" x14ac:dyDescent="0.35">
      <c r="A18" s="83">
        <v>16</v>
      </c>
      <c r="B18" s="81" t="s">
        <v>31</v>
      </c>
      <c r="C18" s="42" t="s">
        <v>32</v>
      </c>
      <c r="D18" s="96"/>
      <c r="E18" s="104"/>
      <c r="F18" s="60"/>
    </row>
    <row r="19" spans="1:15" ht="16.2" thickBot="1" x14ac:dyDescent="0.35">
      <c r="A19" s="69">
        <v>17</v>
      </c>
      <c r="B19" s="81" t="s">
        <v>35</v>
      </c>
      <c r="C19" s="42" t="s">
        <v>570</v>
      </c>
      <c r="D19" s="86" t="s">
        <v>579</v>
      </c>
      <c r="E19" s="104" t="str" cm="1">
        <f t="array" ref="E19">IF(ISBLANK(D19),"PAN Not provided",(IF(LEN(D19)&lt;&gt;10,"Must be 10 digits",(IF((SUMPRODUCT(--(ABS(77.5-(CODE(MID(UPPER(D19),{1,2,3,4,5,10},1))))&lt;13))=6),(IF((SUMPRODUCT(--ISNUMBER(--MID(D19,{6,7,8,9},1)))=4),((IF(((MID(D19,4,1))="C"),"Company.","Others."))),"4 numbers required in PAN")),"6 Alphabets must")))))</f>
        <v>Company.</v>
      </c>
      <c r="F19" s="60"/>
    </row>
    <row r="20" spans="1:15" ht="16.2" thickBot="1" x14ac:dyDescent="0.35">
      <c r="A20" s="83">
        <v>18</v>
      </c>
      <c r="B20" s="81" t="s">
        <v>33</v>
      </c>
      <c r="C20" s="42" t="s">
        <v>571</v>
      </c>
      <c r="D20" s="99" t="s">
        <v>636</v>
      </c>
      <c r="E20" s="104" t="str">
        <f>IF(ISBLANK(D20),"Not registered",(IF(LEN(D20)&lt;&gt;15,"Not 15 digits",(IF(ISNUMBER(VALUE(MID(D20,13,1))),(IF(ISNUMBER(VALUE(MID(D20,14,1))),"Check 14th Digit",(IF((VLOOKUP(D14,A166:C201,3,0))=(LEFT(D20,2)),(IF((MID(D20,3,10)=D19),"GST Registered.","PAN &amp; GST not matching")),"State Code is not matching with Region code")))),"Check 13th Digit")))))</f>
        <v>GST Registered.</v>
      </c>
      <c r="F20" s="64"/>
    </row>
    <row r="21" spans="1:15" ht="15" thickBot="1" x14ac:dyDescent="0.35">
      <c r="A21" s="82">
        <v>19</v>
      </c>
      <c r="B21" s="81" t="s">
        <v>37</v>
      </c>
      <c r="C21" s="7" t="s">
        <v>671</v>
      </c>
      <c r="D21" s="100" t="str">
        <f>IF(ISBLANK(D20),"0"," ")</f>
        <v xml:space="preserve"> </v>
      </c>
      <c r="E21" s="102" t="str">
        <f>IF(D21=" ","GST Registered","GST Not Registered")</f>
        <v>GST Registered</v>
      </c>
      <c r="F21" s="64"/>
    </row>
    <row r="22" spans="1:15" ht="15" thickBot="1" x14ac:dyDescent="0.35">
      <c r="A22" s="70">
        <v>20</v>
      </c>
      <c r="B22" s="81" t="s">
        <v>34</v>
      </c>
      <c r="C22" s="23" t="s">
        <v>552</v>
      </c>
      <c r="D22" s="59" t="s">
        <v>36</v>
      </c>
      <c r="E22" s="105" t="str">
        <f>IF(ISBLANK(D22),"Select from the list",VLOOKUP(D22,$A$140:$B$162,2,0))</f>
        <v>FOR ENGINEERING GOODS VENDORS</v>
      </c>
      <c r="F22" s="60"/>
      <c r="H22" s="63"/>
    </row>
    <row r="23" spans="1:15" ht="15" thickBot="1" x14ac:dyDescent="0.35">
      <c r="A23" s="69">
        <v>21</v>
      </c>
      <c r="B23" s="81" t="s">
        <v>44</v>
      </c>
      <c r="C23" s="31" t="s">
        <v>643</v>
      </c>
      <c r="D23" s="101" t="str">
        <f>VLOOKUP(E23,$A$129:$B$137,2,0)</f>
        <v>0001</v>
      </c>
      <c r="E23" s="106" t="s">
        <v>73</v>
      </c>
      <c r="F23" s="60"/>
    </row>
    <row r="24" spans="1:15" ht="15" thickBot="1" x14ac:dyDescent="0.35">
      <c r="A24" s="125">
        <v>22</v>
      </c>
      <c r="B24" s="123" t="s">
        <v>722</v>
      </c>
      <c r="C24" s="122" t="s">
        <v>720</v>
      </c>
      <c r="D24" s="127" t="s">
        <v>721</v>
      </c>
      <c r="E24" s="124" t="str">
        <f>IF(D24="Yes","PAN IS OPERATIVE (Choose Normal Tax Rates)", "PAN IS INOPERATIVE (Choose Higher Tax Rates)")</f>
        <v>PAN IS OPERATIVE (Choose Normal Tax Rates)</v>
      </c>
      <c r="F24" s="60"/>
    </row>
    <row r="25" spans="1:15" s="66" customFormat="1" ht="21" thickBot="1" x14ac:dyDescent="0.35">
      <c r="A25" s="115" t="s">
        <v>712</v>
      </c>
      <c r="B25" s="116" t="s">
        <v>47</v>
      </c>
      <c r="C25" s="117" t="s">
        <v>723</v>
      </c>
      <c r="D25" s="118" t="s">
        <v>194</v>
      </c>
      <c r="E25" s="114" t="str">
        <f>VLOOKUP(D25,$A$204:$B$246,2,0)</f>
        <v>TDS-194H-ON COMMISSION/BROERAGE INV-5%</v>
      </c>
      <c r="F25" s="119"/>
      <c r="G25" s="119"/>
      <c r="H25" s="119"/>
      <c r="I25" s="119"/>
      <c r="J25" s="119"/>
      <c r="K25" s="119"/>
      <c r="L25" s="119"/>
      <c r="M25" s="119"/>
      <c r="N25" s="119"/>
      <c r="O25" s="119"/>
    </row>
    <row r="26" spans="1:15" s="66" customFormat="1" ht="15" thickBot="1" x14ac:dyDescent="0.35">
      <c r="A26" s="120" t="s">
        <v>713</v>
      </c>
      <c r="B26" s="121" t="s">
        <v>47</v>
      </c>
      <c r="C26" s="117" t="s">
        <v>805</v>
      </c>
      <c r="D26" s="118" t="s">
        <v>40</v>
      </c>
      <c r="E26" s="113" t="str">
        <f>VLOOKUP(D26,$A$204:$B$246,2,0)</f>
        <v>TDS-194Q-GST MATERIAL @0.1%</v>
      </c>
      <c r="F26" s="119"/>
      <c r="G26" s="119"/>
      <c r="H26" s="119"/>
      <c r="I26" s="119"/>
      <c r="J26" s="119"/>
      <c r="K26" s="119"/>
      <c r="L26" s="119"/>
      <c r="M26" s="119"/>
      <c r="N26" s="119"/>
      <c r="O26" s="119"/>
    </row>
    <row r="27" spans="1:15" s="66" customFormat="1" ht="15" thickBot="1" x14ac:dyDescent="0.35">
      <c r="A27" s="120" t="s">
        <v>714</v>
      </c>
      <c r="B27" s="121" t="s">
        <v>47</v>
      </c>
      <c r="C27" s="117" t="s">
        <v>805</v>
      </c>
      <c r="D27" s="118" t="s">
        <v>716</v>
      </c>
      <c r="E27" s="114" t="str">
        <f>VLOOKUP(D27,$A$204:$B$246,2,0)</f>
        <v>194Q for material or TDS for services is must</v>
      </c>
      <c r="F27" s="119"/>
      <c r="G27" s="119"/>
      <c r="H27" s="119"/>
      <c r="I27" s="119"/>
      <c r="J27" s="119"/>
      <c r="K27" s="119"/>
      <c r="L27" s="119"/>
      <c r="M27" s="119"/>
      <c r="N27" s="119"/>
      <c r="O27" s="119"/>
    </row>
    <row r="28" spans="1:15" s="66" customFormat="1" ht="15" thickBot="1" x14ac:dyDescent="0.35">
      <c r="A28" s="120" t="s">
        <v>715</v>
      </c>
      <c r="B28" s="121" t="s">
        <v>47</v>
      </c>
      <c r="C28" s="117" t="s">
        <v>805</v>
      </c>
      <c r="D28" s="118" t="s">
        <v>716</v>
      </c>
      <c r="E28" s="114" t="str">
        <f>VLOOKUP(D28,$A$204:$B$246,2,0)</f>
        <v>194Q for material or TDS for services is must</v>
      </c>
      <c r="F28" s="119"/>
      <c r="G28" s="119"/>
      <c r="H28" s="119"/>
      <c r="I28" s="119"/>
      <c r="J28" s="119"/>
      <c r="K28" s="119"/>
      <c r="L28" s="119"/>
      <c r="M28" s="119"/>
      <c r="N28" s="119"/>
      <c r="O28" s="119"/>
    </row>
    <row r="29" spans="1:15" ht="15" thickBot="1" x14ac:dyDescent="0.35">
      <c r="A29" s="120" t="s">
        <v>802</v>
      </c>
      <c r="B29" s="121" t="s">
        <v>47</v>
      </c>
      <c r="C29" s="117" t="s">
        <v>805</v>
      </c>
      <c r="D29" s="118" t="s">
        <v>716</v>
      </c>
      <c r="E29" s="114" t="str">
        <f>VLOOKUP(D29,$A$204:$B$246,2,0)</f>
        <v>194Q for material or TDS for services is must</v>
      </c>
      <c r="F29" s="60"/>
    </row>
    <row r="30" spans="1:15" ht="15" thickBot="1" x14ac:dyDescent="0.35">
      <c r="A30" s="82">
        <v>23</v>
      </c>
      <c r="B30" s="81" t="s">
        <v>48</v>
      </c>
      <c r="C30" s="7" t="s">
        <v>572</v>
      </c>
      <c r="D30" s="56" t="str">
        <f>IF(LEFT(D25,1)="I","X"," ")</f>
        <v>X</v>
      </c>
      <c r="E30" s="89" t="str">
        <f>IF(D30="X","TDS Aapplicable","TDS Not Applicable")</f>
        <v>TDS Aapplicable</v>
      </c>
      <c r="F30"/>
    </row>
    <row r="31" spans="1:15" ht="15" thickBot="1" x14ac:dyDescent="0.35">
      <c r="A31" s="83">
        <v>24</v>
      </c>
      <c r="B31" s="81" t="s">
        <v>50</v>
      </c>
      <c r="C31" s="7" t="s">
        <v>573</v>
      </c>
      <c r="D31" s="56" t="str">
        <f>IF(LEFT(D25,1)="I",(IF(((MID(D19,4,1))="C"),"CO","OT"))," ")</f>
        <v>CO</v>
      </c>
      <c r="E31" s="102" t="str">
        <f>IF(D31="CO","COMPANY","OTHERS")</f>
        <v>COMPANY</v>
      </c>
      <c r="F31" s="60"/>
    </row>
    <row r="32" spans="1:15" ht="15" thickBot="1" x14ac:dyDescent="0.35">
      <c r="A32" s="69">
        <v>25</v>
      </c>
      <c r="B32" s="81" t="s">
        <v>41</v>
      </c>
      <c r="C32" s="31" t="s">
        <v>642</v>
      </c>
      <c r="D32" s="107" t="str">
        <f>IF(ISBLANK(E32),"Must select in E27",(VLOOKUP(E32,$A$119:$B$125,2,0)))</f>
        <v>MME</v>
      </c>
      <c r="E32" s="58" t="s">
        <v>541</v>
      </c>
      <c r="F32" s="60"/>
    </row>
    <row r="33" spans="1:11" ht="15" thickBot="1" x14ac:dyDescent="0.35">
      <c r="A33" s="83">
        <v>26</v>
      </c>
      <c r="B33" s="81" t="s">
        <v>39</v>
      </c>
      <c r="C33" s="42" t="s">
        <v>638</v>
      </c>
      <c r="D33" s="108" t="s">
        <v>717</v>
      </c>
      <c r="E33" s="102" t="str">
        <f>IF(D32="MNA",IF(ISBLANK(D33),"Not a MSME Vendor","Leave Blank in MSME No. field as the MSME category is Not Registered."),IF(ISBLANK(D33),"MSME Regn.No. is required as selected in MSME category","MSME Vendor"))</f>
        <v>MSME Vendor</v>
      </c>
      <c r="F33" s="60"/>
      <c r="K33" s="63"/>
    </row>
    <row r="34" spans="1:11" ht="15" thickBot="1" x14ac:dyDescent="0.35">
      <c r="A34" s="82">
        <v>27</v>
      </c>
      <c r="B34" s="81" t="s">
        <v>43</v>
      </c>
      <c r="C34" s="42" t="s">
        <v>49</v>
      </c>
      <c r="D34" s="92">
        <v>43994</v>
      </c>
      <c r="E34" s="102" t="str">
        <f>IF(D32="MNA",IF(ISBLANK(D34),"Not a MSME Vendor","Leave Blank in MSME Date as the MSME category is Not Registered."),IF(ISBLANK(D34),"MSME Regn.Date required as selected in MSME category",""))</f>
        <v/>
      </c>
      <c r="F34" s="60"/>
      <c r="K34" s="63"/>
    </row>
    <row r="35" spans="1:11" ht="15" thickBot="1" x14ac:dyDescent="0.35">
      <c r="A35" s="83">
        <v>28</v>
      </c>
      <c r="B35" s="81" t="s">
        <v>51</v>
      </c>
      <c r="C35" s="42" t="s">
        <v>577</v>
      </c>
      <c r="D35" s="52" t="s">
        <v>661</v>
      </c>
      <c r="E35" s="102"/>
      <c r="F35" s="60"/>
    </row>
    <row r="36" spans="1:11" ht="29.4" thickBot="1" x14ac:dyDescent="0.35">
      <c r="A36" s="82">
        <v>29</v>
      </c>
      <c r="B36" s="81" t="s">
        <v>52</v>
      </c>
      <c r="C36" s="42" t="s">
        <v>719</v>
      </c>
      <c r="D36" s="45" t="s">
        <v>645</v>
      </c>
      <c r="E36" s="102" t="str">
        <f>IF(ISBLANK(D36),"",IF(D36=(CONCATENATE(D6,D7)),"","Note:Bank account name and vendor name not identical"))</f>
        <v/>
      </c>
      <c r="F36" s="60"/>
    </row>
    <row r="37" spans="1:11" ht="15" thickBot="1" x14ac:dyDescent="0.35">
      <c r="A37" s="83">
        <v>30</v>
      </c>
      <c r="B37" s="81" t="s">
        <v>53</v>
      </c>
      <c r="C37" s="42" t="s">
        <v>554</v>
      </c>
      <c r="D37" s="11" t="s">
        <v>646</v>
      </c>
      <c r="E37" s="102" t="str">
        <f>IF((AND(ISBLANK(D35),ISBLANK(D37))),"",IF(LEN(D37)&lt;&gt;11,"11 Characters IFSC code Reqd.",""))</f>
        <v/>
      </c>
      <c r="F37" s="60"/>
    </row>
    <row r="38" spans="1:11" ht="15" thickBot="1" x14ac:dyDescent="0.35">
      <c r="A38" s="109">
        <v>31</v>
      </c>
      <c r="B38" s="110" t="s">
        <v>5</v>
      </c>
      <c r="C38" s="72" t="s">
        <v>670</v>
      </c>
      <c r="D38" s="111">
        <f>VLOOKUP(D3,$A$106:$B$115,2)</f>
        <v>106000</v>
      </c>
      <c r="E38" s="112" t="str">
        <f>VLOOKUP(D38,$B$106:$C$115,2,0)</f>
        <v>Raw Material Suppliers</v>
      </c>
      <c r="F38" s="60"/>
    </row>
    <row r="39" spans="1:11" ht="15" thickBot="1" x14ac:dyDescent="0.35">
      <c r="A39" s="160" t="s">
        <v>569</v>
      </c>
      <c r="B39" s="161"/>
      <c r="C39" s="161"/>
      <c r="D39" s="161"/>
      <c r="E39" s="162"/>
      <c r="F39" s="60"/>
    </row>
    <row r="40" spans="1:11" x14ac:dyDescent="0.3">
      <c r="A40" s="73" t="s">
        <v>567</v>
      </c>
      <c r="B40" s="2"/>
      <c r="C40" s="3"/>
      <c r="D40" s="2"/>
      <c r="E40" s="74"/>
      <c r="F40" s="60"/>
    </row>
    <row r="41" spans="1:11" x14ac:dyDescent="0.3">
      <c r="A41" s="75" t="s">
        <v>568</v>
      </c>
      <c r="D41" s="4"/>
      <c r="E41" s="76"/>
      <c r="F41" s="60"/>
    </row>
    <row r="42" spans="1:11" x14ac:dyDescent="0.3">
      <c r="A42" s="75" t="s">
        <v>574</v>
      </c>
      <c r="D42" s="4"/>
      <c r="E42" s="76"/>
      <c r="F42" s="60"/>
    </row>
    <row r="43" spans="1:11" s="60" customFormat="1" x14ac:dyDescent="0.3">
      <c r="A43" s="75" t="s">
        <v>575</v>
      </c>
      <c r="B43" s="4"/>
      <c r="C43" s="12"/>
      <c r="D43" s="4"/>
      <c r="E43" s="76"/>
    </row>
    <row r="44" spans="1:11" s="60" customFormat="1" x14ac:dyDescent="0.3">
      <c r="A44" s="75" t="s">
        <v>576</v>
      </c>
      <c r="B44" s="4"/>
      <c r="C44" s="12"/>
      <c r="D44" s="4"/>
      <c r="E44" s="76"/>
    </row>
    <row r="45" spans="1:11" s="60" customFormat="1" x14ac:dyDescent="0.3">
      <c r="A45" s="75" t="s">
        <v>673</v>
      </c>
      <c r="B45" s="4"/>
      <c r="C45" s="12"/>
      <c r="D45" s="4"/>
      <c r="E45" s="76"/>
    </row>
    <row r="46" spans="1:11" s="60" customFormat="1" ht="15" thickBot="1" x14ac:dyDescent="0.35">
      <c r="A46" s="77" t="s">
        <v>690</v>
      </c>
      <c r="B46" s="78"/>
      <c r="C46" s="79"/>
      <c r="D46" s="78"/>
      <c r="E46" s="80"/>
    </row>
    <row r="47" spans="1:11" s="60" customFormat="1" x14ac:dyDescent="0.3">
      <c r="C47" s="61"/>
    </row>
    <row r="48" spans="1:11" s="60" customFormat="1" x14ac:dyDescent="0.3">
      <c r="C48" s="61"/>
    </row>
    <row r="49" spans="3:4" s="60" customFormat="1" x14ac:dyDescent="0.3">
      <c r="C49" s="61"/>
      <c r="D49" s="62"/>
    </row>
    <row r="50" spans="3:4" s="60" customFormat="1" x14ac:dyDescent="0.3">
      <c r="C50" s="61"/>
      <c r="D50" s="62"/>
    </row>
    <row r="51" spans="3:4" s="60" customFormat="1" x14ac:dyDescent="0.3">
      <c r="C51" s="61"/>
      <c r="D51" s="62"/>
    </row>
    <row r="52" spans="3:4" s="60" customFormat="1" x14ac:dyDescent="0.3">
      <c r="C52" s="61"/>
      <c r="D52" s="62"/>
    </row>
    <row r="53" spans="3:4" s="60" customFormat="1" x14ac:dyDescent="0.3">
      <c r="C53" s="61"/>
      <c r="D53" s="91"/>
    </row>
    <row r="54" spans="3:4" s="60" customFormat="1" x14ac:dyDescent="0.3">
      <c r="C54" s="61"/>
      <c r="D54" s="62"/>
    </row>
    <row r="55" spans="3:4" s="60" customFormat="1" x14ac:dyDescent="0.3">
      <c r="C55" s="61"/>
      <c r="D55" s="62"/>
    </row>
    <row r="56" spans="3:4" s="60" customFormat="1" x14ac:dyDescent="0.3">
      <c r="C56" s="61"/>
      <c r="D56" s="62"/>
    </row>
    <row r="57" spans="3:4" s="60" customFormat="1" x14ac:dyDescent="0.3">
      <c r="C57" s="61"/>
      <c r="D57" s="62"/>
    </row>
    <row r="58" spans="3:4" s="60" customFormat="1" x14ac:dyDescent="0.3">
      <c r="C58" s="61"/>
      <c r="D58" s="62"/>
    </row>
    <row r="59" spans="3:4" s="60" customFormat="1" x14ac:dyDescent="0.3">
      <c r="C59" s="61"/>
      <c r="D59" s="62"/>
    </row>
    <row r="60" spans="3:4" s="60" customFormat="1" x14ac:dyDescent="0.3">
      <c r="C60" s="61"/>
      <c r="D60" s="62"/>
    </row>
    <row r="61" spans="3:4" s="60" customFormat="1" x14ac:dyDescent="0.3">
      <c r="C61" s="61"/>
      <c r="D61" s="62"/>
    </row>
    <row r="62" spans="3:4" s="60" customFormat="1" x14ac:dyDescent="0.3">
      <c r="C62" s="61"/>
      <c r="D62" s="62"/>
    </row>
    <row r="63" spans="3:4" s="60" customFormat="1" x14ac:dyDescent="0.3">
      <c r="C63" s="61"/>
      <c r="D63" s="62"/>
    </row>
    <row r="64" spans="3:4" s="60" customFormat="1" x14ac:dyDescent="0.3">
      <c r="C64" s="61"/>
      <c r="D64" s="62"/>
    </row>
    <row r="65" spans="3:4" s="60" customFormat="1" x14ac:dyDescent="0.3">
      <c r="C65" s="61"/>
      <c r="D65" s="62"/>
    </row>
    <row r="66" spans="3:4" s="60" customFormat="1" x14ac:dyDescent="0.3">
      <c r="C66" s="61"/>
      <c r="D66" s="62"/>
    </row>
    <row r="67" spans="3:4" s="60" customFormat="1" x14ac:dyDescent="0.3">
      <c r="C67" s="61"/>
      <c r="D67" s="62"/>
    </row>
    <row r="68" spans="3:4" s="60" customFormat="1" x14ac:dyDescent="0.3">
      <c r="C68" s="61"/>
      <c r="D68" s="62"/>
    </row>
    <row r="69" spans="3:4" s="60" customFormat="1" x14ac:dyDescent="0.3">
      <c r="C69" s="61"/>
      <c r="D69" s="62"/>
    </row>
    <row r="70" spans="3:4" s="60" customFormat="1" x14ac:dyDescent="0.3">
      <c r="C70" s="61"/>
      <c r="D70" s="62"/>
    </row>
    <row r="71" spans="3:4" s="60" customFormat="1" x14ac:dyDescent="0.3">
      <c r="C71" s="61"/>
      <c r="D71" s="62"/>
    </row>
    <row r="72" spans="3:4" s="60" customFormat="1" x14ac:dyDescent="0.3">
      <c r="C72" s="61"/>
      <c r="D72" s="62"/>
    </row>
    <row r="73" spans="3:4" s="60" customFormat="1" x14ac:dyDescent="0.3">
      <c r="C73" s="61"/>
      <c r="D73" s="62"/>
    </row>
    <row r="74" spans="3:4" s="60" customFormat="1" x14ac:dyDescent="0.3">
      <c r="C74" s="61"/>
      <c r="D74" s="62"/>
    </row>
    <row r="75" spans="3:4" s="60" customFormat="1" x14ac:dyDescent="0.3">
      <c r="C75" s="61"/>
      <c r="D75" s="62"/>
    </row>
    <row r="76" spans="3:4" s="60" customFormat="1" x14ac:dyDescent="0.3">
      <c r="C76" s="61"/>
      <c r="D76" s="62"/>
    </row>
    <row r="77" spans="3:4" s="60" customFormat="1" x14ac:dyDescent="0.3">
      <c r="C77" s="61"/>
      <c r="D77" s="62"/>
    </row>
    <row r="78" spans="3:4" s="60" customFormat="1" x14ac:dyDescent="0.3">
      <c r="C78" s="61"/>
      <c r="D78" s="62"/>
    </row>
    <row r="79" spans="3:4" s="60" customFormat="1" x14ac:dyDescent="0.3">
      <c r="C79" s="61"/>
      <c r="D79" s="62"/>
    </row>
    <row r="80" spans="3:4" s="60" customFormat="1" x14ac:dyDescent="0.3">
      <c r="C80" s="61"/>
      <c r="D80" s="62"/>
    </row>
    <row r="81" spans="3:4" s="60" customFormat="1" x14ac:dyDescent="0.3">
      <c r="C81" s="61"/>
      <c r="D81" s="62"/>
    </row>
    <row r="82" spans="3:4" s="60" customFormat="1" x14ac:dyDescent="0.3">
      <c r="C82" s="61"/>
      <c r="D82" s="62"/>
    </row>
    <row r="83" spans="3:4" s="60" customFormat="1" x14ac:dyDescent="0.3">
      <c r="C83" s="61"/>
      <c r="D83" s="62"/>
    </row>
    <row r="84" spans="3:4" s="60" customFormat="1" x14ac:dyDescent="0.3">
      <c r="C84" s="61"/>
      <c r="D84" s="62"/>
    </row>
    <row r="85" spans="3:4" s="60" customFormat="1" x14ac:dyDescent="0.3">
      <c r="C85" s="61"/>
      <c r="D85" s="62"/>
    </row>
    <row r="86" spans="3:4" s="60" customFormat="1" x14ac:dyDescent="0.3">
      <c r="C86" s="61"/>
      <c r="D86" s="62"/>
    </row>
    <row r="87" spans="3:4" s="60" customFormat="1" x14ac:dyDescent="0.3">
      <c r="C87" s="61"/>
      <c r="D87" s="62"/>
    </row>
    <row r="88" spans="3:4" s="60" customFormat="1" x14ac:dyDescent="0.3">
      <c r="C88" s="61"/>
      <c r="D88" s="62"/>
    </row>
    <row r="89" spans="3:4" s="60" customFormat="1" x14ac:dyDescent="0.3">
      <c r="C89" s="61"/>
      <c r="D89" s="62"/>
    </row>
    <row r="90" spans="3:4" s="60" customFormat="1" x14ac:dyDescent="0.3">
      <c r="C90" s="61"/>
      <c r="D90" s="62"/>
    </row>
    <row r="91" spans="3:4" s="60" customFormat="1" x14ac:dyDescent="0.3">
      <c r="C91" s="61"/>
      <c r="D91" s="62"/>
    </row>
    <row r="92" spans="3:4" s="60" customFormat="1" x14ac:dyDescent="0.3">
      <c r="C92" s="61"/>
      <c r="D92" s="62"/>
    </row>
    <row r="93" spans="3:4" s="60" customFormat="1" x14ac:dyDescent="0.3">
      <c r="C93" s="61"/>
      <c r="D93" s="62"/>
    </row>
    <row r="94" spans="3:4" s="60" customFormat="1" x14ac:dyDescent="0.3">
      <c r="C94" s="61"/>
      <c r="D94" s="62"/>
    </row>
    <row r="95" spans="3:4" s="60" customFormat="1" x14ac:dyDescent="0.3">
      <c r="C95" s="61"/>
      <c r="D95" s="62"/>
    </row>
    <row r="96" spans="3:4" s="60" customFormat="1" x14ac:dyDescent="0.3">
      <c r="C96" s="61"/>
      <c r="D96" s="62"/>
    </row>
    <row r="97" spans="1:5" s="60" customFormat="1" hidden="1" x14ac:dyDescent="0.3">
      <c r="C97" s="61"/>
      <c r="D97" s="62"/>
    </row>
    <row r="98" spans="1:5" s="60" customFormat="1" hidden="1" x14ac:dyDescent="0.3">
      <c r="C98" s="61"/>
      <c r="D98" s="62"/>
    </row>
    <row r="99" spans="1:5" s="60" customFormat="1" hidden="1" x14ac:dyDescent="0.3">
      <c r="C99" s="61"/>
      <c r="D99" s="62"/>
    </row>
    <row r="100" spans="1:5" s="60" customFormat="1" ht="15.6" hidden="1" x14ac:dyDescent="0.3">
      <c r="A100" s="126" t="s">
        <v>725</v>
      </c>
      <c r="C100" s="61"/>
      <c r="D100" s="62"/>
    </row>
    <row r="101" spans="1:5" s="60" customFormat="1" ht="15.6" hidden="1" x14ac:dyDescent="0.3">
      <c r="A101" s="126" t="s">
        <v>721</v>
      </c>
      <c r="C101" s="61"/>
      <c r="D101" s="62"/>
    </row>
    <row r="102" spans="1:5" ht="15.6" hidden="1" x14ac:dyDescent="0.3">
      <c r="A102" s="126" t="s">
        <v>724</v>
      </c>
      <c r="B102" s="60"/>
      <c r="C102" s="61"/>
      <c r="D102" s="62"/>
      <c r="E102" s="60"/>
    </row>
    <row r="103" spans="1:5" hidden="1" x14ac:dyDescent="0.3">
      <c r="A103" s="60"/>
      <c r="B103" s="60"/>
      <c r="C103" s="61"/>
      <c r="D103" s="62"/>
      <c r="E103" s="60"/>
    </row>
    <row r="104" spans="1:5" hidden="1" x14ac:dyDescent="0.3">
      <c r="A104" s="60"/>
      <c r="B104" s="60"/>
      <c r="C104" s="61"/>
      <c r="D104" s="62"/>
      <c r="E104" s="60"/>
    </row>
    <row r="105" spans="1:5" hidden="1" x14ac:dyDescent="0.3">
      <c r="A105" s="4" t="s">
        <v>54</v>
      </c>
      <c r="B105" s="4" t="s">
        <v>55</v>
      </c>
    </row>
    <row r="106" spans="1:5" ht="15.6" hidden="1" x14ac:dyDescent="0.3">
      <c r="A106" s="13">
        <v>10000</v>
      </c>
      <c r="B106" s="26">
        <v>106000</v>
      </c>
      <c r="C106" s="13" t="s">
        <v>555</v>
      </c>
      <c r="D106" s="4"/>
    </row>
    <row r="107" spans="1:5" ht="15.6" hidden="1" x14ac:dyDescent="0.3">
      <c r="A107" s="14">
        <v>20000</v>
      </c>
      <c r="B107" s="27">
        <v>106200</v>
      </c>
      <c r="C107" s="14" t="s">
        <v>556</v>
      </c>
      <c r="D107" s="4"/>
    </row>
    <row r="108" spans="1:5" ht="15.6" hidden="1" x14ac:dyDescent="0.3">
      <c r="A108" s="14">
        <v>40000</v>
      </c>
      <c r="B108" s="27">
        <v>106100</v>
      </c>
      <c r="C108" s="14" t="s">
        <v>557</v>
      </c>
      <c r="D108" s="4"/>
    </row>
    <row r="109" spans="1:5" ht="15.6" hidden="1" x14ac:dyDescent="0.3">
      <c r="A109" s="14">
        <v>60000</v>
      </c>
      <c r="B109" s="27">
        <v>106300</v>
      </c>
      <c r="C109" s="14" t="s">
        <v>558</v>
      </c>
      <c r="D109" s="4"/>
    </row>
    <row r="110" spans="1:5" ht="15.6" hidden="1" x14ac:dyDescent="0.3">
      <c r="A110" s="14">
        <v>70000</v>
      </c>
      <c r="B110" s="27">
        <v>106400</v>
      </c>
      <c r="C110" s="14" t="s">
        <v>559</v>
      </c>
      <c r="D110" s="4"/>
    </row>
    <row r="111" spans="1:5" ht="15.6" hidden="1" x14ac:dyDescent="0.3">
      <c r="A111" s="14">
        <v>100000</v>
      </c>
      <c r="B111" s="27">
        <v>106500</v>
      </c>
      <c r="C111" s="14" t="s">
        <v>560</v>
      </c>
      <c r="D111" s="4"/>
    </row>
    <row r="112" spans="1:5" ht="15.6" hidden="1" x14ac:dyDescent="0.3">
      <c r="A112" s="14">
        <v>120000</v>
      </c>
      <c r="B112" s="27">
        <v>106400</v>
      </c>
      <c r="C112" s="14" t="s">
        <v>561</v>
      </c>
      <c r="D112" s="4"/>
    </row>
    <row r="113" spans="1:4" ht="15.6" hidden="1" x14ac:dyDescent="0.3">
      <c r="A113" s="15">
        <v>130000</v>
      </c>
      <c r="B113" s="15">
        <v>106600</v>
      </c>
      <c r="C113" s="14" t="s">
        <v>562</v>
      </c>
      <c r="D113" s="4"/>
    </row>
    <row r="114" spans="1:4" ht="15.6" hidden="1" x14ac:dyDescent="0.3">
      <c r="A114" s="14">
        <v>140000</v>
      </c>
      <c r="B114" s="27">
        <v>106900</v>
      </c>
      <c r="C114" s="14" t="s">
        <v>563</v>
      </c>
      <c r="D114" s="4"/>
    </row>
    <row r="115" spans="1:4" ht="15.6" hidden="1" x14ac:dyDescent="0.3">
      <c r="A115" s="14">
        <v>150000</v>
      </c>
      <c r="B115" s="27">
        <v>107000</v>
      </c>
      <c r="C115" s="14" t="s">
        <v>564</v>
      </c>
      <c r="D115" s="4"/>
    </row>
    <row r="116" spans="1:4" ht="15.6" hidden="1" x14ac:dyDescent="0.3">
      <c r="A116" s="14">
        <v>160000</v>
      </c>
      <c r="B116" s="27">
        <v>108000</v>
      </c>
      <c r="C116" s="14" t="s">
        <v>584</v>
      </c>
      <c r="D116" s="4"/>
    </row>
    <row r="117" spans="1:4" hidden="1" x14ac:dyDescent="0.3">
      <c r="C117" s="4"/>
    </row>
    <row r="118" spans="1:4" hidden="1" x14ac:dyDescent="0.3">
      <c r="A118" s="16" t="s">
        <v>56</v>
      </c>
      <c r="B118" s="16" t="s">
        <v>57</v>
      </c>
      <c r="C118" s="4"/>
    </row>
    <row r="119" spans="1:4" hidden="1" x14ac:dyDescent="0.3">
      <c r="A119" s="17" t="s">
        <v>541</v>
      </c>
      <c r="B119" s="17" t="s">
        <v>58</v>
      </c>
      <c r="C119" s="17"/>
    </row>
    <row r="120" spans="1:4" hidden="1" x14ac:dyDescent="0.3">
      <c r="A120" s="17" t="s">
        <v>542</v>
      </c>
      <c r="B120" s="17" t="s">
        <v>42</v>
      </c>
      <c r="C120" s="17"/>
    </row>
    <row r="121" spans="1:4" hidden="1" x14ac:dyDescent="0.3">
      <c r="A121" s="17" t="s">
        <v>543</v>
      </c>
      <c r="B121" s="17" t="s">
        <v>59</v>
      </c>
      <c r="C121" s="17"/>
    </row>
    <row r="122" spans="1:4" hidden="1" x14ac:dyDescent="0.3">
      <c r="A122" s="17" t="s">
        <v>685</v>
      </c>
      <c r="B122" s="17" t="s">
        <v>680</v>
      </c>
      <c r="C122" s="17"/>
    </row>
    <row r="123" spans="1:4" hidden="1" x14ac:dyDescent="0.3">
      <c r="A123" s="17" t="s">
        <v>683</v>
      </c>
      <c r="B123" s="17" t="s">
        <v>681</v>
      </c>
      <c r="C123" s="17"/>
    </row>
    <row r="124" spans="1:4" hidden="1" x14ac:dyDescent="0.3">
      <c r="A124" s="17" t="s">
        <v>684</v>
      </c>
      <c r="B124" s="17" t="s">
        <v>682</v>
      </c>
      <c r="C124" s="17"/>
    </row>
    <row r="125" spans="1:4" hidden="1" x14ac:dyDescent="0.3">
      <c r="A125" s="17" t="s">
        <v>639</v>
      </c>
      <c r="B125" s="17" t="s">
        <v>46</v>
      </c>
      <c r="C125" s="17"/>
    </row>
    <row r="126" spans="1:4" hidden="1" x14ac:dyDescent="0.3">
      <c r="A126" s="17"/>
      <c r="B126" s="17"/>
      <c r="C126" s="17"/>
    </row>
    <row r="127" spans="1:4" hidden="1" x14ac:dyDescent="0.3">
      <c r="A127" s="17"/>
      <c r="B127" s="17"/>
    </row>
    <row r="128" spans="1:4" hidden="1" x14ac:dyDescent="0.3">
      <c r="A128" s="16" t="s">
        <v>60</v>
      </c>
      <c r="B128" s="16" t="s">
        <v>61</v>
      </c>
    </row>
    <row r="129" spans="1:3" hidden="1" x14ac:dyDescent="0.3">
      <c r="A129" s="132" t="s">
        <v>804</v>
      </c>
      <c r="B129" s="133" t="s">
        <v>803</v>
      </c>
    </row>
    <row r="130" spans="1:3" hidden="1" x14ac:dyDescent="0.3">
      <c r="A130" s="19" t="s">
        <v>75</v>
      </c>
      <c r="B130" s="18" t="s">
        <v>74</v>
      </c>
      <c r="C130"/>
    </row>
    <row r="131" spans="1:3" hidden="1" x14ac:dyDescent="0.3">
      <c r="A131" s="19" t="s">
        <v>63</v>
      </c>
      <c r="B131" s="18" t="s">
        <v>62</v>
      </c>
      <c r="C131"/>
    </row>
    <row r="132" spans="1:3" hidden="1" x14ac:dyDescent="0.3">
      <c r="A132" s="19" t="s">
        <v>65</v>
      </c>
      <c r="B132" s="18" t="s">
        <v>64</v>
      </c>
      <c r="C132"/>
    </row>
    <row r="133" spans="1:3" hidden="1" x14ac:dyDescent="0.3">
      <c r="A133" s="19" t="s">
        <v>66</v>
      </c>
      <c r="B133" s="18" t="s">
        <v>38</v>
      </c>
      <c r="C133"/>
    </row>
    <row r="134" spans="1:3" hidden="1" x14ac:dyDescent="0.3">
      <c r="A134" s="19" t="s">
        <v>68</v>
      </c>
      <c r="B134" s="18" t="s">
        <v>67</v>
      </c>
      <c r="C134"/>
    </row>
    <row r="135" spans="1:3" hidden="1" x14ac:dyDescent="0.3">
      <c r="A135" s="19" t="s">
        <v>70</v>
      </c>
      <c r="B135" s="18" t="s">
        <v>69</v>
      </c>
      <c r="C135"/>
    </row>
    <row r="136" spans="1:3" hidden="1" x14ac:dyDescent="0.3">
      <c r="A136" s="19" t="s">
        <v>72</v>
      </c>
      <c r="B136" s="18" t="s">
        <v>71</v>
      </c>
      <c r="C136"/>
    </row>
    <row r="137" spans="1:3" hidden="1" x14ac:dyDescent="0.3">
      <c r="A137" s="19" t="s">
        <v>73</v>
      </c>
      <c r="B137" s="18" t="s">
        <v>45</v>
      </c>
      <c r="C137"/>
    </row>
    <row r="138" spans="1:3" hidden="1" x14ac:dyDescent="0.3">
      <c r="A138"/>
      <c r="B138"/>
    </row>
    <row r="139" spans="1:3" hidden="1" x14ac:dyDescent="0.3">
      <c r="A139" s="16" t="s">
        <v>76</v>
      </c>
      <c r="B139" s="16" t="s">
        <v>77</v>
      </c>
    </row>
    <row r="140" spans="1:3" hidden="1" x14ac:dyDescent="0.3">
      <c r="A140" s="19" t="s">
        <v>78</v>
      </c>
      <c r="B140" s="19" t="s">
        <v>79</v>
      </c>
    </row>
    <row r="141" spans="1:3" hidden="1" x14ac:dyDescent="0.3">
      <c r="A141" s="19" t="s">
        <v>80</v>
      </c>
      <c r="B141" s="19" t="s">
        <v>81</v>
      </c>
    </row>
    <row r="142" spans="1:3" hidden="1" x14ac:dyDescent="0.3">
      <c r="A142" s="19" t="s">
        <v>82</v>
      </c>
      <c r="B142" s="19" t="s">
        <v>83</v>
      </c>
    </row>
    <row r="143" spans="1:3" hidden="1" x14ac:dyDescent="0.3">
      <c r="A143" s="19" t="s">
        <v>84</v>
      </c>
      <c r="B143" s="19" t="s">
        <v>85</v>
      </c>
    </row>
    <row r="144" spans="1:3" hidden="1" x14ac:dyDescent="0.3">
      <c r="A144" s="19" t="s">
        <v>86</v>
      </c>
      <c r="B144" s="19" t="s">
        <v>87</v>
      </c>
    </row>
    <row r="145" spans="1:2" hidden="1" x14ac:dyDescent="0.3">
      <c r="A145" s="19" t="s">
        <v>88</v>
      </c>
      <c r="B145" s="19" t="s">
        <v>89</v>
      </c>
    </row>
    <row r="146" spans="1:2" hidden="1" x14ac:dyDescent="0.3">
      <c r="A146" s="19" t="s">
        <v>90</v>
      </c>
      <c r="B146" s="19" t="s">
        <v>91</v>
      </c>
    </row>
    <row r="147" spans="1:2" hidden="1" x14ac:dyDescent="0.3">
      <c r="A147" s="19" t="s">
        <v>92</v>
      </c>
      <c r="B147" s="19" t="s">
        <v>93</v>
      </c>
    </row>
    <row r="148" spans="1:2" hidden="1" x14ac:dyDescent="0.3">
      <c r="A148" s="19" t="s">
        <v>94</v>
      </c>
      <c r="B148" s="19" t="s">
        <v>95</v>
      </c>
    </row>
    <row r="149" spans="1:2" hidden="1" x14ac:dyDescent="0.3">
      <c r="A149" s="19" t="s">
        <v>96</v>
      </c>
      <c r="B149" s="19" t="s">
        <v>97</v>
      </c>
    </row>
    <row r="150" spans="1:2" hidden="1" x14ac:dyDescent="0.3">
      <c r="A150" s="19" t="s">
        <v>672</v>
      </c>
      <c r="B150" s="19" t="s">
        <v>586</v>
      </c>
    </row>
    <row r="151" spans="1:2" hidden="1" x14ac:dyDescent="0.3">
      <c r="A151" s="19" t="s">
        <v>99</v>
      </c>
      <c r="B151" s="19" t="s">
        <v>100</v>
      </c>
    </row>
    <row r="152" spans="1:2" hidden="1" x14ac:dyDescent="0.3">
      <c r="A152" s="19" t="s">
        <v>674</v>
      </c>
      <c r="B152" s="19" t="s">
        <v>675</v>
      </c>
    </row>
    <row r="153" spans="1:2" hidden="1" x14ac:dyDescent="0.3">
      <c r="A153" s="19" t="s">
        <v>678</v>
      </c>
      <c r="B153" s="19" t="s">
        <v>679</v>
      </c>
    </row>
    <row r="154" spans="1:2" hidden="1" x14ac:dyDescent="0.3">
      <c r="A154" s="19" t="s">
        <v>676</v>
      </c>
      <c r="B154" s="19" t="s">
        <v>677</v>
      </c>
    </row>
    <row r="155" spans="1:2" hidden="1" x14ac:dyDescent="0.3">
      <c r="A155" s="19" t="s">
        <v>101</v>
      </c>
      <c r="B155" s="19" t="s">
        <v>102</v>
      </c>
    </row>
    <row r="156" spans="1:2" hidden="1" x14ac:dyDescent="0.3">
      <c r="A156" s="19" t="s">
        <v>36</v>
      </c>
      <c r="B156" s="19" t="s">
        <v>103</v>
      </c>
    </row>
    <row r="157" spans="1:2" hidden="1" x14ac:dyDescent="0.3">
      <c r="A157" s="19" t="s">
        <v>104</v>
      </c>
      <c r="B157" s="19" t="s">
        <v>105</v>
      </c>
    </row>
    <row r="158" spans="1:2" hidden="1" x14ac:dyDescent="0.3">
      <c r="A158" s="19" t="s">
        <v>106</v>
      </c>
      <c r="B158" s="19" t="s">
        <v>107</v>
      </c>
    </row>
    <row r="159" spans="1:2" hidden="1" x14ac:dyDescent="0.3">
      <c r="A159" s="19" t="s">
        <v>108</v>
      </c>
      <c r="B159" s="19" t="s">
        <v>109</v>
      </c>
    </row>
    <row r="160" spans="1:2" hidden="1" x14ac:dyDescent="0.3">
      <c r="A160" s="20" t="s">
        <v>110</v>
      </c>
      <c r="B160" s="20" t="s">
        <v>111</v>
      </c>
    </row>
    <row r="161" spans="1:8" hidden="1" x14ac:dyDescent="0.3">
      <c r="A161" s="20" t="s">
        <v>585</v>
      </c>
      <c r="B161" s="20" t="s">
        <v>585</v>
      </c>
    </row>
    <row r="162" spans="1:8" hidden="1" x14ac:dyDescent="0.3">
      <c r="A162" s="20" t="s">
        <v>112</v>
      </c>
      <c r="B162" s="20" t="s">
        <v>113</v>
      </c>
    </row>
    <row r="163" spans="1:8" hidden="1" x14ac:dyDescent="0.3">
      <c r="A163" s="17"/>
      <c r="B163" s="17"/>
      <c r="F163"/>
      <c r="G163"/>
      <c r="H163"/>
    </row>
    <row r="164" spans="1:8" hidden="1" x14ac:dyDescent="0.3">
      <c r="A164" s="17"/>
      <c r="B164" s="17"/>
      <c r="E164"/>
      <c r="F164"/>
      <c r="G164"/>
      <c r="H164"/>
    </row>
    <row r="165" spans="1:8" hidden="1" x14ac:dyDescent="0.3">
      <c r="A165" s="16" t="s">
        <v>114</v>
      </c>
      <c r="B165" s="16" t="s">
        <v>115</v>
      </c>
      <c r="E165"/>
      <c r="F165"/>
      <c r="G165"/>
      <c r="H165"/>
    </row>
    <row r="166" spans="1:8" hidden="1" x14ac:dyDescent="0.3">
      <c r="A166" s="19" t="s">
        <v>116</v>
      </c>
      <c r="B166" s="19" t="s">
        <v>117</v>
      </c>
      <c r="C166" s="129" t="s">
        <v>739</v>
      </c>
      <c r="E166"/>
      <c r="F166"/>
      <c r="G166"/>
      <c r="H166"/>
    </row>
    <row r="167" spans="1:8" hidden="1" x14ac:dyDescent="0.3">
      <c r="A167" s="19" t="s">
        <v>24</v>
      </c>
      <c r="B167" s="19" t="s">
        <v>118</v>
      </c>
      <c r="C167" s="129" t="s">
        <v>740</v>
      </c>
      <c r="E167"/>
      <c r="F167"/>
      <c r="G167"/>
      <c r="H167"/>
    </row>
    <row r="168" spans="1:8" hidden="1" x14ac:dyDescent="0.3">
      <c r="A168" s="19" t="s">
        <v>119</v>
      </c>
      <c r="B168" s="19" t="s">
        <v>120</v>
      </c>
      <c r="C168" s="129" t="s">
        <v>741</v>
      </c>
      <c r="E168"/>
      <c r="F168"/>
      <c r="G168"/>
      <c r="H168"/>
    </row>
    <row r="169" spans="1:8" hidden="1" x14ac:dyDescent="0.3">
      <c r="A169" s="19" t="s">
        <v>121</v>
      </c>
      <c r="B169" s="19" t="s">
        <v>122</v>
      </c>
      <c r="C169" s="129" t="s">
        <v>742</v>
      </c>
      <c r="E169"/>
      <c r="F169"/>
      <c r="G169"/>
      <c r="H169"/>
    </row>
    <row r="170" spans="1:8" hidden="1" x14ac:dyDescent="0.3">
      <c r="A170" s="19" t="s">
        <v>123</v>
      </c>
      <c r="B170" s="19" t="s">
        <v>124</v>
      </c>
      <c r="C170" s="129" t="s">
        <v>743</v>
      </c>
      <c r="E170"/>
      <c r="F170"/>
      <c r="G170"/>
      <c r="H170"/>
    </row>
    <row r="171" spans="1:8" hidden="1" x14ac:dyDescent="0.3">
      <c r="A171" s="19" t="s">
        <v>125</v>
      </c>
      <c r="B171" s="19" t="s">
        <v>126</v>
      </c>
      <c r="C171" s="129" t="s">
        <v>589</v>
      </c>
      <c r="E171"/>
      <c r="F171"/>
      <c r="G171"/>
      <c r="H171"/>
    </row>
    <row r="172" spans="1:8" hidden="1" x14ac:dyDescent="0.3">
      <c r="A172" s="19" t="s">
        <v>127</v>
      </c>
      <c r="B172" s="19" t="s">
        <v>128</v>
      </c>
      <c r="C172" s="129" t="s">
        <v>744</v>
      </c>
      <c r="E172"/>
      <c r="F172"/>
      <c r="G172"/>
      <c r="H172"/>
    </row>
    <row r="173" spans="1:8" hidden="1" x14ac:dyDescent="0.3">
      <c r="A173" s="19" t="s">
        <v>129</v>
      </c>
      <c r="B173" s="19" t="s">
        <v>130</v>
      </c>
      <c r="C173" s="129" t="s">
        <v>745</v>
      </c>
      <c r="E173"/>
      <c r="F173"/>
      <c r="G173"/>
      <c r="H173"/>
    </row>
    <row r="174" spans="1:8" hidden="1" x14ac:dyDescent="0.3">
      <c r="A174" s="19" t="s">
        <v>131</v>
      </c>
      <c r="B174" s="19" t="s">
        <v>132</v>
      </c>
      <c r="C174" s="129" t="s">
        <v>746</v>
      </c>
      <c r="E174"/>
      <c r="F174"/>
      <c r="G174"/>
      <c r="H174"/>
    </row>
    <row r="175" spans="1:8" hidden="1" x14ac:dyDescent="0.3">
      <c r="A175" s="19" t="s">
        <v>23</v>
      </c>
      <c r="B175" s="19" t="s">
        <v>133</v>
      </c>
      <c r="C175" s="129" t="s">
        <v>592</v>
      </c>
      <c r="E175"/>
      <c r="F175"/>
      <c r="G175"/>
      <c r="H175"/>
    </row>
    <row r="176" spans="1:8" hidden="1" x14ac:dyDescent="0.3">
      <c r="A176" s="19" t="s">
        <v>134</v>
      </c>
      <c r="B176" s="19" t="s">
        <v>135</v>
      </c>
      <c r="C176" s="128" t="e">
        <v>#N/A</v>
      </c>
      <c r="E176"/>
      <c r="F176"/>
      <c r="G176"/>
      <c r="H176"/>
    </row>
    <row r="177" spans="1:8" hidden="1" x14ac:dyDescent="0.3">
      <c r="A177" s="19" t="s">
        <v>136</v>
      </c>
      <c r="B177" s="19" t="s">
        <v>137</v>
      </c>
      <c r="C177" s="129" t="s">
        <v>747</v>
      </c>
      <c r="E177"/>
      <c r="F177"/>
      <c r="G177"/>
      <c r="H177"/>
    </row>
    <row r="178" spans="1:8" hidden="1" x14ac:dyDescent="0.3">
      <c r="A178" s="19" t="s">
        <v>138</v>
      </c>
      <c r="B178" s="19" t="s">
        <v>139</v>
      </c>
      <c r="C178" s="129" t="s">
        <v>748</v>
      </c>
      <c r="E178"/>
      <c r="F178"/>
      <c r="G178"/>
      <c r="H178"/>
    </row>
    <row r="179" spans="1:8" hidden="1" x14ac:dyDescent="0.3">
      <c r="A179" s="19" t="s">
        <v>140</v>
      </c>
      <c r="B179" s="19" t="s">
        <v>141</v>
      </c>
      <c r="C179" s="129" t="s">
        <v>591</v>
      </c>
      <c r="E179"/>
      <c r="F179"/>
      <c r="G179"/>
      <c r="H179"/>
    </row>
    <row r="180" spans="1:8" hidden="1" x14ac:dyDescent="0.3">
      <c r="A180" s="19" t="s">
        <v>142</v>
      </c>
      <c r="B180" s="19" t="s">
        <v>143</v>
      </c>
      <c r="C180" s="129" t="s">
        <v>587</v>
      </c>
      <c r="E180"/>
      <c r="F180"/>
      <c r="G180"/>
      <c r="H180"/>
    </row>
    <row r="181" spans="1:8" hidden="1" x14ac:dyDescent="0.3">
      <c r="A181" s="19" t="s">
        <v>144</v>
      </c>
      <c r="B181" s="19" t="s">
        <v>145</v>
      </c>
      <c r="C181" s="129" t="s">
        <v>635</v>
      </c>
      <c r="E181"/>
      <c r="F181"/>
      <c r="G181"/>
      <c r="H181"/>
    </row>
    <row r="182" spans="1:8" hidden="1" x14ac:dyDescent="0.3">
      <c r="A182" s="19" t="s">
        <v>146</v>
      </c>
      <c r="B182" s="19" t="s">
        <v>147</v>
      </c>
      <c r="C182" s="129" t="s">
        <v>749</v>
      </c>
      <c r="E182"/>
      <c r="F182"/>
      <c r="G182"/>
      <c r="H182"/>
    </row>
    <row r="183" spans="1:8" hidden="1" x14ac:dyDescent="0.3">
      <c r="A183" s="19" t="s">
        <v>148</v>
      </c>
      <c r="B183" s="19" t="s">
        <v>149</v>
      </c>
      <c r="C183" s="129" t="s">
        <v>750</v>
      </c>
      <c r="E183"/>
      <c r="F183"/>
      <c r="G183"/>
      <c r="H183"/>
    </row>
    <row r="184" spans="1:8" hidden="1" x14ac:dyDescent="0.3">
      <c r="A184" s="19" t="s">
        <v>150</v>
      </c>
      <c r="B184" s="19" t="s">
        <v>151</v>
      </c>
      <c r="C184" s="129" t="s">
        <v>751</v>
      </c>
      <c r="E184"/>
      <c r="F184"/>
      <c r="G184"/>
      <c r="H184"/>
    </row>
    <row r="185" spans="1:8" hidden="1" x14ac:dyDescent="0.3">
      <c r="A185" s="19" t="s">
        <v>152</v>
      </c>
      <c r="B185" s="19" t="s">
        <v>153</v>
      </c>
      <c r="C185" s="129" t="s">
        <v>752</v>
      </c>
      <c r="E185"/>
      <c r="F185"/>
      <c r="G185"/>
      <c r="H185"/>
    </row>
    <row r="186" spans="1:8" hidden="1" x14ac:dyDescent="0.3">
      <c r="A186" s="19" t="s">
        <v>154</v>
      </c>
      <c r="B186" s="19" t="s">
        <v>155</v>
      </c>
      <c r="C186" s="129" t="s">
        <v>753</v>
      </c>
      <c r="E186"/>
      <c r="F186"/>
      <c r="G186"/>
      <c r="H186"/>
    </row>
    <row r="187" spans="1:8" hidden="1" x14ac:dyDescent="0.3">
      <c r="A187" s="19" t="s">
        <v>156</v>
      </c>
      <c r="B187" s="19" t="s">
        <v>157</v>
      </c>
      <c r="C187" s="129" t="s">
        <v>738</v>
      </c>
      <c r="E187"/>
      <c r="F187"/>
      <c r="G187"/>
      <c r="H187"/>
    </row>
    <row r="188" spans="1:8" hidden="1" x14ac:dyDescent="0.3">
      <c r="A188" s="19" t="s">
        <v>158</v>
      </c>
      <c r="B188" s="19" t="s">
        <v>159</v>
      </c>
      <c r="C188" s="129" t="s">
        <v>754</v>
      </c>
      <c r="E188"/>
      <c r="F188"/>
      <c r="G188"/>
      <c r="H188"/>
    </row>
    <row r="189" spans="1:8" hidden="1" x14ac:dyDescent="0.3">
      <c r="A189" s="19" t="s">
        <v>160</v>
      </c>
      <c r="B189" s="19" t="s">
        <v>161</v>
      </c>
      <c r="C189" s="129" t="s">
        <v>755</v>
      </c>
      <c r="E189"/>
      <c r="F189"/>
      <c r="G189"/>
      <c r="H189"/>
    </row>
    <row r="190" spans="1:8" hidden="1" x14ac:dyDescent="0.3">
      <c r="A190" s="19" t="s">
        <v>162</v>
      </c>
      <c r="B190" s="19" t="s">
        <v>163</v>
      </c>
      <c r="C190" s="129" t="s">
        <v>756</v>
      </c>
      <c r="E190"/>
      <c r="F190"/>
      <c r="G190"/>
      <c r="H190"/>
    </row>
    <row r="191" spans="1:8" hidden="1" x14ac:dyDescent="0.3">
      <c r="A191" s="19" t="s">
        <v>164</v>
      </c>
      <c r="B191" s="19" t="s">
        <v>165</v>
      </c>
      <c r="C191" s="129" t="s">
        <v>757</v>
      </c>
      <c r="E191"/>
      <c r="F191"/>
      <c r="G191"/>
      <c r="H191"/>
    </row>
    <row r="192" spans="1:8" hidden="1" x14ac:dyDescent="0.3">
      <c r="A192" s="19" t="s">
        <v>166</v>
      </c>
      <c r="B192" s="19" t="s">
        <v>167</v>
      </c>
      <c r="C192" s="129" t="s">
        <v>758</v>
      </c>
      <c r="E192"/>
      <c r="F192"/>
      <c r="G192"/>
      <c r="H192"/>
    </row>
    <row r="193" spans="1:8" hidden="1" x14ac:dyDescent="0.3">
      <c r="A193" s="19" t="s">
        <v>168</v>
      </c>
      <c r="B193" s="19" t="s">
        <v>169</v>
      </c>
      <c r="C193" s="129" t="s">
        <v>588</v>
      </c>
      <c r="E193"/>
      <c r="F193"/>
      <c r="G193"/>
      <c r="H193"/>
    </row>
    <row r="194" spans="1:8" hidden="1" x14ac:dyDescent="0.3">
      <c r="A194" s="19" t="s">
        <v>170</v>
      </c>
      <c r="B194" s="19" t="s">
        <v>171</v>
      </c>
      <c r="C194" s="129" t="s">
        <v>593</v>
      </c>
      <c r="E194"/>
      <c r="F194"/>
      <c r="G194"/>
      <c r="H194"/>
    </row>
    <row r="195" spans="1:8" hidden="1" x14ac:dyDescent="0.3">
      <c r="A195" s="19" t="s">
        <v>172</v>
      </c>
      <c r="B195" s="19" t="s">
        <v>173</v>
      </c>
      <c r="C195" s="129" t="s">
        <v>759</v>
      </c>
      <c r="E195"/>
      <c r="F195"/>
      <c r="G195"/>
      <c r="H195"/>
    </row>
    <row r="196" spans="1:8" hidden="1" x14ac:dyDescent="0.3">
      <c r="A196" s="19" t="s">
        <v>174</v>
      </c>
      <c r="B196" s="19" t="s">
        <v>175</v>
      </c>
      <c r="C196" s="129" t="s">
        <v>760</v>
      </c>
      <c r="E196"/>
      <c r="F196"/>
      <c r="G196"/>
      <c r="H196"/>
    </row>
    <row r="197" spans="1:8" hidden="1" x14ac:dyDescent="0.3">
      <c r="A197" s="19" t="s">
        <v>176</v>
      </c>
      <c r="B197" s="19" t="s">
        <v>177</v>
      </c>
      <c r="C197" s="129" t="s">
        <v>761</v>
      </c>
      <c r="E197"/>
      <c r="F197"/>
      <c r="G197"/>
      <c r="H197"/>
    </row>
    <row r="198" spans="1:8" hidden="1" x14ac:dyDescent="0.3">
      <c r="A198" s="19" t="s">
        <v>178</v>
      </c>
      <c r="B198" s="19" t="s">
        <v>179</v>
      </c>
      <c r="C198" s="129" t="s">
        <v>762</v>
      </c>
      <c r="E198"/>
      <c r="F198"/>
      <c r="G198"/>
      <c r="H198"/>
    </row>
    <row r="199" spans="1:8" hidden="1" x14ac:dyDescent="0.3">
      <c r="A199" s="19" t="s">
        <v>180</v>
      </c>
      <c r="B199" s="19" t="s">
        <v>181</v>
      </c>
      <c r="C199" s="129" t="s">
        <v>590</v>
      </c>
      <c r="E199"/>
      <c r="F199"/>
      <c r="G199"/>
      <c r="H199"/>
    </row>
    <row r="200" spans="1:8" hidden="1" x14ac:dyDescent="0.3">
      <c r="A200" s="19" t="s">
        <v>182</v>
      </c>
      <c r="B200" s="19" t="s">
        <v>183</v>
      </c>
      <c r="C200" s="129" t="s">
        <v>594</v>
      </c>
      <c r="E200"/>
      <c r="F200"/>
      <c r="G200"/>
      <c r="H200"/>
    </row>
    <row r="201" spans="1:8" hidden="1" x14ac:dyDescent="0.3">
      <c r="A201" s="19" t="s">
        <v>184</v>
      </c>
      <c r="B201" s="19" t="s">
        <v>185</v>
      </c>
      <c r="C201" s="129" t="s">
        <v>763</v>
      </c>
      <c r="E201"/>
      <c r="F201"/>
      <c r="G201"/>
      <c r="H201"/>
    </row>
    <row r="202" spans="1:8" hidden="1" x14ac:dyDescent="0.3">
      <c r="A202" s="17"/>
      <c r="B202" s="17"/>
      <c r="E202"/>
      <c r="F202"/>
      <c r="G202"/>
      <c r="H202"/>
    </row>
    <row r="203" spans="1:8" hidden="1" x14ac:dyDescent="0.3">
      <c r="A203" s="16" t="s">
        <v>595</v>
      </c>
      <c r="B203" s="16" t="s">
        <v>596</v>
      </c>
      <c r="E203"/>
      <c r="F203"/>
      <c r="G203"/>
      <c r="H203"/>
    </row>
    <row r="204" spans="1:8" hidden="1" x14ac:dyDescent="0.3">
      <c r="A204" s="17" t="s">
        <v>40</v>
      </c>
      <c r="B204" s="21" t="s">
        <v>208</v>
      </c>
      <c r="E204"/>
      <c r="F204"/>
      <c r="G204"/>
      <c r="H204"/>
    </row>
    <row r="205" spans="1:8" hidden="1" x14ac:dyDescent="0.3">
      <c r="A205" s="17" t="s">
        <v>783</v>
      </c>
      <c r="B205" s="17" t="s">
        <v>784</v>
      </c>
      <c r="E205"/>
      <c r="F205"/>
      <c r="G205"/>
      <c r="H205"/>
    </row>
    <row r="206" spans="1:8" hidden="1" x14ac:dyDescent="0.3">
      <c r="A206" s="17" t="s">
        <v>186</v>
      </c>
      <c r="B206" s="17" t="s">
        <v>187</v>
      </c>
      <c r="E206"/>
      <c r="F206"/>
      <c r="G206"/>
      <c r="H206"/>
    </row>
    <row r="207" spans="1:8" hidden="1" x14ac:dyDescent="0.3">
      <c r="A207" s="131" t="s">
        <v>764</v>
      </c>
      <c r="B207" s="131" t="s">
        <v>765</v>
      </c>
      <c r="E207"/>
      <c r="F207"/>
      <c r="G207"/>
      <c r="H207"/>
    </row>
    <row r="208" spans="1:8" hidden="1" x14ac:dyDescent="0.3">
      <c r="A208" s="17" t="s">
        <v>188</v>
      </c>
      <c r="B208" s="17" t="s">
        <v>189</v>
      </c>
      <c r="E208"/>
      <c r="F208"/>
      <c r="G208"/>
      <c r="H208"/>
    </row>
    <row r="209" spans="1:8" hidden="1" x14ac:dyDescent="0.3">
      <c r="A209" s="131" t="s">
        <v>766</v>
      </c>
      <c r="B209" s="131" t="s">
        <v>767</v>
      </c>
      <c r="E209"/>
      <c r="F209"/>
      <c r="G209"/>
      <c r="H209"/>
    </row>
    <row r="210" spans="1:8" hidden="1" x14ac:dyDescent="0.3">
      <c r="A210" s="17" t="s">
        <v>190</v>
      </c>
      <c r="B210" s="17" t="s">
        <v>191</v>
      </c>
      <c r="E210"/>
      <c r="F210"/>
      <c r="G210"/>
      <c r="H210"/>
    </row>
    <row r="211" spans="1:8" hidden="1" x14ac:dyDescent="0.3">
      <c r="A211" s="17" t="s">
        <v>768</v>
      </c>
      <c r="B211" s="17" t="s">
        <v>769</v>
      </c>
      <c r="E211"/>
      <c r="F211"/>
      <c r="G211"/>
      <c r="H211"/>
    </row>
    <row r="212" spans="1:8" hidden="1" x14ac:dyDescent="0.3">
      <c r="A212" s="17" t="s">
        <v>192</v>
      </c>
      <c r="B212" s="17" t="s">
        <v>193</v>
      </c>
      <c r="E212"/>
      <c r="F212"/>
      <c r="G212"/>
      <c r="H212"/>
    </row>
    <row r="213" spans="1:8" hidden="1" x14ac:dyDescent="0.3">
      <c r="A213" s="17" t="s">
        <v>770</v>
      </c>
      <c r="B213" s="17" t="s">
        <v>771</v>
      </c>
      <c r="E213"/>
      <c r="F213"/>
      <c r="G213"/>
      <c r="H213"/>
    </row>
    <row r="214" spans="1:8" hidden="1" x14ac:dyDescent="0.3">
      <c r="A214" s="17" t="s">
        <v>194</v>
      </c>
      <c r="B214" s="17" t="s">
        <v>195</v>
      </c>
      <c r="E214"/>
      <c r="F214"/>
      <c r="G214"/>
      <c r="H214"/>
    </row>
    <row r="215" spans="1:8" hidden="1" x14ac:dyDescent="0.3">
      <c r="A215" s="17" t="s">
        <v>772</v>
      </c>
      <c r="B215" s="17" t="s">
        <v>773</v>
      </c>
      <c r="E215"/>
      <c r="F215"/>
      <c r="G215"/>
      <c r="H215"/>
    </row>
    <row r="216" spans="1:8" hidden="1" x14ac:dyDescent="0.3">
      <c r="A216" s="17" t="s">
        <v>196</v>
      </c>
      <c r="B216" s="17" t="s">
        <v>197</v>
      </c>
      <c r="E216"/>
      <c r="F216"/>
      <c r="G216"/>
      <c r="H216"/>
    </row>
    <row r="217" spans="1:8" hidden="1" x14ac:dyDescent="0.3">
      <c r="A217" s="17" t="s">
        <v>774</v>
      </c>
      <c r="B217" s="17" t="s">
        <v>775</v>
      </c>
      <c r="D217" s="130"/>
      <c r="E217"/>
      <c r="F217"/>
      <c r="G217"/>
      <c r="H217"/>
    </row>
    <row r="218" spans="1:8" hidden="1" x14ac:dyDescent="0.3">
      <c r="A218" s="17" t="s">
        <v>198</v>
      </c>
      <c r="B218" s="17" t="s">
        <v>199</v>
      </c>
      <c r="D218" s="130"/>
      <c r="E218"/>
      <c r="F218"/>
      <c r="G218"/>
      <c r="H218"/>
    </row>
    <row r="219" spans="1:8" hidden="1" x14ac:dyDescent="0.3">
      <c r="A219" s="17" t="s">
        <v>776</v>
      </c>
      <c r="B219" s="17" t="s">
        <v>777</v>
      </c>
      <c r="D219" s="130"/>
      <c r="E219"/>
      <c r="F219"/>
      <c r="G219"/>
      <c r="H219"/>
    </row>
    <row r="220" spans="1:8" hidden="1" x14ac:dyDescent="0.3">
      <c r="A220" s="17" t="s">
        <v>200</v>
      </c>
      <c r="B220" s="17" t="s">
        <v>201</v>
      </c>
      <c r="D220" s="130"/>
      <c r="E220"/>
      <c r="F220"/>
      <c r="G220"/>
      <c r="H220"/>
    </row>
    <row r="221" spans="1:8" hidden="1" x14ac:dyDescent="0.3">
      <c r="A221" s="17" t="s">
        <v>778</v>
      </c>
      <c r="B221" s="17" t="s">
        <v>779</v>
      </c>
      <c r="D221" s="130"/>
      <c r="E221"/>
      <c r="F221"/>
      <c r="G221"/>
      <c r="H221"/>
    </row>
    <row r="222" spans="1:8" hidden="1" x14ac:dyDescent="0.3">
      <c r="A222" s="17" t="s">
        <v>202</v>
      </c>
      <c r="B222" s="17" t="s">
        <v>203</v>
      </c>
      <c r="D222" s="130"/>
      <c r="E222"/>
      <c r="F222"/>
      <c r="G222"/>
      <c r="H222"/>
    </row>
    <row r="223" spans="1:8" hidden="1" x14ac:dyDescent="0.3">
      <c r="A223" s="17" t="s">
        <v>780</v>
      </c>
      <c r="B223" s="17" t="s">
        <v>781</v>
      </c>
      <c r="D223" s="130"/>
      <c r="E223"/>
      <c r="F223"/>
      <c r="G223"/>
      <c r="H223"/>
    </row>
    <row r="224" spans="1:8" hidden="1" x14ac:dyDescent="0.3">
      <c r="A224" s="17" t="s">
        <v>691</v>
      </c>
      <c r="B224" s="17" t="s">
        <v>692</v>
      </c>
      <c r="D224" s="130"/>
      <c r="E224"/>
      <c r="F224"/>
      <c r="G224"/>
      <c r="H224"/>
    </row>
    <row r="225" spans="1:8" hidden="1" x14ac:dyDescent="0.3">
      <c r="A225" s="17" t="s">
        <v>168</v>
      </c>
      <c r="B225" s="17" t="s">
        <v>782</v>
      </c>
      <c r="D225" s="130"/>
      <c r="E225"/>
      <c r="F225"/>
      <c r="G225"/>
      <c r="H225"/>
    </row>
    <row r="226" spans="1:8" hidden="1" x14ac:dyDescent="0.3">
      <c r="A226" s="17" t="s">
        <v>693</v>
      </c>
      <c r="B226" s="17" t="s">
        <v>694</v>
      </c>
      <c r="D226" s="130"/>
      <c r="E226"/>
      <c r="F226"/>
      <c r="G226"/>
      <c r="H226"/>
    </row>
    <row r="227" spans="1:8" hidden="1" x14ac:dyDescent="0.3">
      <c r="A227" s="17" t="s">
        <v>204</v>
      </c>
      <c r="B227" s="17" t="s">
        <v>205</v>
      </c>
      <c r="D227" s="130"/>
      <c r="E227"/>
      <c r="F227"/>
      <c r="G227"/>
      <c r="H227"/>
    </row>
    <row r="228" spans="1:8" hidden="1" x14ac:dyDescent="0.3">
      <c r="A228" s="17" t="s">
        <v>716</v>
      </c>
      <c r="B228" s="17" t="s">
        <v>207</v>
      </c>
      <c r="E228"/>
      <c r="F228"/>
      <c r="G228"/>
      <c r="H228"/>
    </row>
    <row r="229" spans="1:8" hidden="1" x14ac:dyDescent="0.3">
      <c r="A229" s="17" t="s">
        <v>702</v>
      </c>
      <c r="B229" s="17" t="s">
        <v>695</v>
      </c>
      <c r="E229"/>
      <c r="F229"/>
      <c r="G229"/>
      <c r="H229"/>
    </row>
    <row r="230" spans="1:8" hidden="1" x14ac:dyDescent="0.3">
      <c r="A230" s="17" t="s">
        <v>793</v>
      </c>
      <c r="B230" s="17" t="s">
        <v>785</v>
      </c>
      <c r="E230"/>
      <c r="F230"/>
      <c r="G230"/>
      <c r="H230"/>
    </row>
    <row r="231" spans="1:8" hidden="1" x14ac:dyDescent="0.3">
      <c r="A231" s="17" t="s">
        <v>703</v>
      </c>
      <c r="B231" s="17" t="s">
        <v>696</v>
      </c>
      <c r="E231"/>
      <c r="F231"/>
      <c r="G231"/>
      <c r="H231"/>
    </row>
    <row r="232" spans="1:8" hidden="1" x14ac:dyDescent="0.3">
      <c r="A232" s="17" t="s">
        <v>794</v>
      </c>
      <c r="B232" s="17" t="s">
        <v>786</v>
      </c>
      <c r="E232"/>
      <c r="F232"/>
      <c r="G232"/>
      <c r="H232"/>
    </row>
    <row r="233" spans="1:8" hidden="1" x14ac:dyDescent="0.3">
      <c r="A233" s="17" t="s">
        <v>704</v>
      </c>
      <c r="B233" s="17" t="s">
        <v>697</v>
      </c>
      <c r="E233"/>
      <c r="F233"/>
      <c r="G233"/>
      <c r="H233"/>
    </row>
    <row r="234" spans="1:8" hidden="1" x14ac:dyDescent="0.3">
      <c r="A234" s="17" t="s">
        <v>795</v>
      </c>
      <c r="B234" s="17" t="s">
        <v>787</v>
      </c>
      <c r="E234"/>
      <c r="F234"/>
      <c r="G234"/>
      <c r="H234"/>
    </row>
    <row r="235" spans="1:8" hidden="1" x14ac:dyDescent="0.3">
      <c r="A235" s="17" t="s">
        <v>705</v>
      </c>
      <c r="B235" s="17" t="s">
        <v>698</v>
      </c>
      <c r="E235"/>
      <c r="F235"/>
      <c r="G235"/>
      <c r="H235"/>
    </row>
    <row r="236" spans="1:8" hidden="1" x14ac:dyDescent="0.3">
      <c r="A236" s="17" t="s">
        <v>796</v>
      </c>
      <c r="B236" s="17" t="s">
        <v>788</v>
      </c>
      <c r="E236"/>
      <c r="F236"/>
      <c r="G236"/>
      <c r="H236"/>
    </row>
    <row r="237" spans="1:8" hidden="1" x14ac:dyDescent="0.3">
      <c r="A237" s="17" t="s">
        <v>706</v>
      </c>
      <c r="B237" s="17" t="s">
        <v>699</v>
      </c>
      <c r="E237"/>
      <c r="F237"/>
      <c r="G237"/>
      <c r="H237"/>
    </row>
    <row r="238" spans="1:8" hidden="1" x14ac:dyDescent="0.3">
      <c r="A238" s="17" t="s">
        <v>797</v>
      </c>
      <c r="B238" s="17" t="s">
        <v>789</v>
      </c>
      <c r="E238"/>
      <c r="F238"/>
      <c r="G238"/>
      <c r="H238"/>
    </row>
    <row r="239" spans="1:8" hidden="1" x14ac:dyDescent="0.3">
      <c r="A239" s="17" t="s">
        <v>707</v>
      </c>
      <c r="B239" s="17" t="s">
        <v>700</v>
      </c>
      <c r="E239"/>
      <c r="F239"/>
      <c r="G239"/>
      <c r="H239"/>
    </row>
    <row r="240" spans="1:8" hidden="1" x14ac:dyDescent="0.3">
      <c r="A240" s="17" t="s">
        <v>798</v>
      </c>
      <c r="B240" s="17" t="s">
        <v>790</v>
      </c>
      <c r="E240"/>
      <c r="F240"/>
      <c r="G240"/>
      <c r="H240"/>
    </row>
    <row r="241" spans="1:8" hidden="1" x14ac:dyDescent="0.3">
      <c r="A241" s="17" t="s">
        <v>701</v>
      </c>
      <c r="B241" s="17"/>
      <c r="E241"/>
      <c r="F241"/>
      <c r="G241"/>
      <c r="H241"/>
    </row>
    <row r="242" spans="1:8" hidden="1" x14ac:dyDescent="0.3">
      <c r="A242" s="17" t="s">
        <v>799</v>
      </c>
      <c r="B242" s="17" t="s">
        <v>791</v>
      </c>
      <c r="E242"/>
      <c r="F242"/>
      <c r="G242"/>
      <c r="H242"/>
    </row>
    <row r="243" spans="1:8" hidden="1" x14ac:dyDescent="0.3">
      <c r="A243" s="17" t="s">
        <v>708</v>
      </c>
      <c r="B243" s="17" t="s">
        <v>709</v>
      </c>
      <c r="E243"/>
      <c r="F243"/>
      <c r="G243"/>
      <c r="H243"/>
    </row>
    <row r="244" spans="1:8" hidden="1" x14ac:dyDescent="0.3">
      <c r="A244" s="17" t="s">
        <v>800</v>
      </c>
      <c r="B244" s="17" t="s">
        <v>792</v>
      </c>
      <c r="E244"/>
      <c r="F244"/>
      <c r="G244"/>
      <c r="H244"/>
    </row>
    <row r="245" spans="1:8" hidden="1" x14ac:dyDescent="0.3">
      <c r="A245" s="17" t="s">
        <v>710</v>
      </c>
      <c r="B245" s="17"/>
      <c r="E245"/>
      <c r="F245"/>
      <c r="G245"/>
      <c r="H245"/>
    </row>
    <row r="246" spans="1:8" hidden="1" x14ac:dyDescent="0.3">
      <c r="A246" s="17" t="s">
        <v>40</v>
      </c>
      <c r="B246" s="21" t="s">
        <v>208</v>
      </c>
      <c r="E246"/>
      <c r="F246"/>
      <c r="G246"/>
      <c r="H246"/>
    </row>
    <row r="247" spans="1:8" hidden="1" x14ac:dyDescent="0.3">
      <c r="A247" s="17"/>
      <c r="B247" s="17"/>
      <c r="E247"/>
      <c r="F247"/>
      <c r="G247"/>
      <c r="H247"/>
    </row>
    <row r="248" spans="1:8" hidden="1" x14ac:dyDescent="0.3">
      <c r="A248" s="22" t="s">
        <v>209</v>
      </c>
      <c r="B248" s="22" t="s">
        <v>210</v>
      </c>
      <c r="E248"/>
      <c r="F248"/>
      <c r="G248"/>
      <c r="H248"/>
    </row>
    <row r="249" spans="1:8" hidden="1" x14ac:dyDescent="0.3">
      <c r="A249" s="17" t="s">
        <v>7</v>
      </c>
      <c r="B249" s="17" t="s">
        <v>211</v>
      </c>
      <c r="C249" s="12" t="s">
        <v>212</v>
      </c>
      <c r="E249"/>
      <c r="F249"/>
      <c r="G249"/>
      <c r="H249"/>
    </row>
    <row r="250" spans="1:8" hidden="1" x14ac:dyDescent="0.3">
      <c r="A250" s="134" t="s">
        <v>806</v>
      </c>
      <c r="B250" s="17" t="s">
        <v>808</v>
      </c>
      <c r="E250"/>
      <c r="F250"/>
      <c r="G250"/>
      <c r="H250"/>
    </row>
    <row r="251" spans="1:8" hidden="1" x14ac:dyDescent="0.3">
      <c r="A251" s="134" t="s">
        <v>807</v>
      </c>
      <c r="B251" s="17" t="s">
        <v>809</v>
      </c>
      <c r="E251"/>
      <c r="F251"/>
      <c r="G251"/>
      <c r="H251"/>
    </row>
    <row r="252" spans="1:8" hidden="1" x14ac:dyDescent="0.3">
      <c r="A252" s="134" t="s">
        <v>360</v>
      </c>
      <c r="B252" s="17" t="s">
        <v>361</v>
      </c>
      <c r="E252"/>
      <c r="F252"/>
      <c r="G252"/>
      <c r="H252"/>
    </row>
    <row r="253" spans="1:8" hidden="1" x14ac:dyDescent="0.3">
      <c r="A253" s="134" t="s">
        <v>362</v>
      </c>
      <c r="B253" s="17" t="s">
        <v>363</v>
      </c>
      <c r="E253"/>
      <c r="F253"/>
      <c r="G253"/>
      <c r="H253"/>
    </row>
    <row r="254" spans="1:8" hidden="1" x14ac:dyDescent="0.3">
      <c r="A254" s="134" t="s">
        <v>364</v>
      </c>
      <c r="B254" s="17" t="s">
        <v>365</v>
      </c>
      <c r="E254"/>
      <c r="F254"/>
      <c r="G254"/>
      <c r="H254"/>
    </row>
    <row r="255" spans="1:8" hidden="1" x14ac:dyDescent="0.3">
      <c r="A255" s="134" t="s">
        <v>366</v>
      </c>
      <c r="B255" s="17" t="s">
        <v>367</v>
      </c>
      <c r="E255"/>
      <c r="F255"/>
      <c r="G255"/>
      <c r="H255"/>
    </row>
    <row r="256" spans="1:8" hidden="1" x14ac:dyDescent="0.3">
      <c r="A256" s="134" t="s">
        <v>368</v>
      </c>
      <c r="B256" s="17" t="s">
        <v>369</v>
      </c>
      <c r="E256"/>
      <c r="F256"/>
      <c r="G256"/>
      <c r="H256"/>
    </row>
    <row r="257" spans="1:8" hidden="1" x14ac:dyDescent="0.3">
      <c r="A257" s="134" t="s">
        <v>370</v>
      </c>
      <c r="B257" s="17" t="s">
        <v>371</v>
      </c>
      <c r="E257"/>
      <c r="F257"/>
      <c r="G257"/>
      <c r="H257"/>
    </row>
    <row r="258" spans="1:8" hidden="1" x14ac:dyDescent="0.3">
      <c r="A258" s="134" t="s">
        <v>372</v>
      </c>
      <c r="B258" s="17" t="s">
        <v>373</v>
      </c>
      <c r="E258"/>
      <c r="F258"/>
      <c r="G258"/>
      <c r="H258"/>
    </row>
    <row r="259" spans="1:8" hidden="1" x14ac:dyDescent="0.3">
      <c r="A259" s="134" t="s">
        <v>374</v>
      </c>
      <c r="B259" s="17" t="s">
        <v>375</v>
      </c>
      <c r="E259"/>
      <c r="F259"/>
      <c r="G259"/>
      <c r="H259"/>
    </row>
    <row r="260" spans="1:8" hidden="1" x14ac:dyDescent="0.3">
      <c r="A260" s="134" t="s">
        <v>376</v>
      </c>
      <c r="B260" s="17" t="s">
        <v>377</v>
      </c>
      <c r="E260"/>
      <c r="F260"/>
      <c r="G260"/>
      <c r="H260"/>
    </row>
    <row r="261" spans="1:8" hidden="1" x14ac:dyDescent="0.3">
      <c r="A261" s="134" t="s">
        <v>378</v>
      </c>
      <c r="B261" s="17" t="s">
        <v>379</v>
      </c>
      <c r="E261"/>
      <c r="F261"/>
      <c r="G261"/>
      <c r="H261"/>
    </row>
    <row r="262" spans="1:8" hidden="1" x14ac:dyDescent="0.3">
      <c r="A262" s="134" t="s">
        <v>380</v>
      </c>
      <c r="B262" s="17" t="s">
        <v>381</v>
      </c>
      <c r="E262"/>
      <c r="F262"/>
      <c r="G262"/>
      <c r="H262"/>
    </row>
    <row r="263" spans="1:8" hidden="1" x14ac:dyDescent="0.3">
      <c r="A263" s="134" t="s">
        <v>382</v>
      </c>
      <c r="B263" s="17" t="s">
        <v>383</v>
      </c>
      <c r="E263"/>
      <c r="F263"/>
      <c r="G263"/>
      <c r="H263"/>
    </row>
    <row r="264" spans="1:8" hidden="1" x14ac:dyDescent="0.3">
      <c r="A264" s="134" t="s">
        <v>384</v>
      </c>
      <c r="B264" s="17" t="s">
        <v>385</v>
      </c>
      <c r="E264"/>
      <c r="F264"/>
      <c r="G264"/>
      <c r="H264"/>
    </row>
    <row r="265" spans="1:8" hidden="1" x14ac:dyDescent="0.3">
      <c r="A265" s="134" t="s">
        <v>386</v>
      </c>
      <c r="B265" s="17" t="s">
        <v>387</v>
      </c>
      <c r="E265"/>
      <c r="F265"/>
      <c r="G265"/>
      <c r="H265"/>
    </row>
    <row r="266" spans="1:8" hidden="1" x14ac:dyDescent="0.3">
      <c r="A266" s="134" t="s">
        <v>613</v>
      </c>
      <c r="B266" s="17" t="s">
        <v>407</v>
      </c>
      <c r="E266"/>
      <c r="F266"/>
      <c r="G266"/>
      <c r="H266"/>
    </row>
    <row r="267" spans="1:8" hidden="1" x14ac:dyDescent="0.3">
      <c r="A267" s="134" t="s">
        <v>736</v>
      </c>
      <c r="B267" s="17" t="s">
        <v>737</v>
      </c>
      <c r="E267"/>
      <c r="F267"/>
      <c r="G267"/>
      <c r="H267"/>
    </row>
    <row r="268" spans="1:8" hidden="1" x14ac:dyDescent="0.3">
      <c r="A268" s="17" t="s">
        <v>597</v>
      </c>
      <c r="B268" s="17" t="s">
        <v>605</v>
      </c>
      <c r="E268"/>
      <c r="F268"/>
      <c r="G268"/>
      <c r="H268"/>
    </row>
    <row r="269" spans="1:8" hidden="1" x14ac:dyDescent="0.3">
      <c r="A269" s="17" t="s">
        <v>598</v>
      </c>
      <c r="B269" s="17" t="s">
        <v>606</v>
      </c>
      <c r="E269"/>
      <c r="F269"/>
      <c r="G269"/>
      <c r="H269"/>
    </row>
    <row r="270" spans="1:8" hidden="1" x14ac:dyDescent="0.3">
      <c r="A270" s="17" t="s">
        <v>599</v>
      </c>
      <c r="B270" s="17" t="s">
        <v>607</v>
      </c>
      <c r="E270"/>
      <c r="F270"/>
      <c r="G270"/>
      <c r="H270"/>
    </row>
    <row r="271" spans="1:8" hidden="1" x14ac:dyDescent="0.3">
      <c r="A271" s="17" t="s">
        <v>600</v>
      </c>
      <c r="B271" s="17" t="s">
        <v>608</v>
      </c>
      <c r="E271"/>
      <c r="F271"/>
      <c r="G271"/>
      <c r="H271"/>
    </row>
    <row r="272" spans="1:8" hidden="1" x14ac:dyDescent="0.3">
      <c r="A272" s="17" t="s">
        <v>601</v>
      </c>
      <c r="B272" s="17" t="s">
        <v>609</v>
      </c>
      <c r="E272"/>
      <c r="F272"/>
      <c r="G272"/>
      <c r="H272"/>
    </row>
    <row r="273" spans="1:8" hidden="1" x14ac:dyDescent="0.3">
      <c r="A273" s="17" t="s">
        <v>602</v>
      </c>
      <c r="B273" s="17" t="s">
        <v>610</v>
      </c>
      <c r="E273"/>
      <c r="F273"/>
      <c r="G273"/>
      <c r="H273"/>
    </row>
    <row r="274" spans="1:8" hidden="1" x14ac:dyDescent="0.3">
      <c r="A274" s="17" t="s">
        <v>603</v>
      </c>
      <c r="B274" s="17" t="s">
        <v>611</v>
      </c>
      <c r="E274"/>
      <c r="F274"/>
      <c r="G274"/>
      <c r="H274"/>
    </row>
    <row r="275" spans="1:8" hidden="1" x14ac:dyDescent="0.3">
      <c r="A275" s="17" t="s">
        <v>604</v>
      </c>
      <c r="B275" s="17" t="s">
        <v>612</v>
      </c>
      <c r="E275"/>
      <c r="F275"/>
      <c r="G275"/>
      <c r="H275"/>
    </row>
    <row r="276" spans="1:8" hidden="1" x14ac:dyDescent="0.3">
      <c r="A276" s="17" t="s">
        <v>213</v>
      </c>
      <c r="B276" s="17" t="s">
        <v>214</v>
      </c>
      <c r="E276"/>
      <c r="F276"/>
      <c r="G276"/>
      <c r="H276"/>
    </row>
    <row r="277" spans="1:8" hidden="1" x14ac:dyDescent="0.3">
      <c r="A277" s="17" t="s">
        <v>9</v>
      </c>
      <c r="B277" s="17" t="s">
        <v>215</v>
      </c>
      <c r="C277" s="12" t="s">
        <v>216</v>
      </c>
      <c r="E277"/>
    </row>
    <row r="278" spans="1:8" hidden="1" x14ac:dyDescent="0.3">
      <c r="A278" s="17" t="s">
        <v>217</v>
      </c>
      <c r="B278" s="17" t="s">
        <v>218</v>
      </c>
    </row>
    <row r="279" spans="1:8" hidden="1" x14ac:dyDescent="0.3">
      <c r="A279" s="17" t="s">
        <v>219</v>
      </c>
      <c r="B279" s="17" t="s">
        <v>220</v>
      </c>
    </row>
    <row r="280" spans="1:8" hidden="1" x14ac:dyDescent="0.3">
      <c r="A280" s="17" t="s">
        <v>221</v>
      </c>
      <c r="B280" s="17" t="s">
        <v>222</v>
      </c>
    </row>
    <row r="281" spans="1:8" hidden="1" x14ac:dyDescent="0.3">
      <c r="A281" s="17" t="s">
        <v>223</v>
      </c>
      <c r="B281" s="17" t="s">
        <v>224</v>
      </c>
      <c r="C281" s="12" t="s">
        <v>212</v>
      </c>
    </row>
    <row r="282" spans="1:8" hidden="1" x14ac:dyDescent="0.3">
      <c r="A282" s="17" t="s">
        <v>225</v>
      </c>
      <c r="B282" s="17" t="s">
        <v>226</v>
      </c>
      <c r="C282" s="12" t="s">
        <v>227</v>
      </c>
    </row>
    <row r="283" spans="1:8" hidden="1" x14ac:dyDescent="0.3">
      <c r="A283" s="17" t="s">
        <v>228</v>
      </c>
      <c r="B283" s="17" t="s">
        <v>229</v>
      </c>
      <c r="C283" s="12" t="s">
        <v>216</v>
      </c>
    </row>
    <row r="284" spans="1:8" hidden="1" x14ac:dyDescent="0.3">
      <c r="A284" s="17" t="s">
        <v>230</v>
      </c>
      <c r="B284" s="17" t="s">
        <v>231</v>
      </c>
      <c r="C284" s="12" t="s">
        <v>227</v>
      </c>
    </row>
    <row r="285" spans="1:8" hidden="1" x14ac:dyDescent="0.3">
      <c r="A285" s="17" t="s">
        <v>232</v>
      </c>
      <c r="B285" s="17" t="s">
        <v>233</v>
      </c>
      <c r="C285" s="12" t="s">
        <v>216</v>
      </c>
    </row>
    <row r="286" spans="1:8" hidden="1" x14ac:dyDescent="0.3">
      <c r="A286" s="17" t="s">
        <v>234</v>
      </c>
      <c r="B286" s="17" t="s">
        <v>235</v>
      </c>
      <c r="C286" s="12" t="s">
        <v>236</v>
      </c>
    </row>
    <row r="287" spans="1:8" hidden="1" x14ac:dyDescent="0.3">
      <c r="A287" s="17" t="s">
        <v>237</v>
      </c>
      <c r="B287" s="17" t="s">
        <v>238</v>
      </c>
      <c r="C287" s="12" t="s">
        <v>239</v>
      </c>
    </row>
    <row r="288" spans="1:8" hidden="1" x14ac:dyDescent="0.3">
      <c r="A288" s="17" t="s">
        <v>240</v>
      </c>
      <c r="B288" s="17" t="s">
        <v>241</v>
      </c>
    </row>
    <row r="289" spans="1:3" hidden="1" x14ac:dyDescent="0.3">
      <c r="A289" s="17" t="s">
        <v>242</v>
      </c>
      <c r="B289" s="17" t="s">
        <v>243</v>
      </c>
      <c r="C289" s="12" t="s">
        <v>244</v>
      </c>
    </row>
    <row r="290" spans="1:3" hidden="1" x14ac:dyDescent="0.3">
      <c r="A290" s="17" t="s">
        <v>245</v>
      </c>
      <c r="B290" s="17" t="s">
        <v>246</v>
      </c>
      <c r="C290" s="12" t="s">
        <v>244</v>
      </c>
    </row>
    <row r="291" spans="1:3" hidden="1" x14ac:dyDescent="0.3">
      <c r="A291" s="17" t="s">
        <v>247</v>
      </c>
      <c r="B291" s="17" t="s">
        <v>248</v>
      </c>
      <c r="C291" s="12" t="s">
        <v>244</v>
      </c>
    </row>
    <row r="292" spans="1:3" hidden="1" x14ac:dyDescent="0.3">
      <c r="A292" s="17" t="s">
        <v>249</v>
      </c>
      <c r="B292" s="17" t="s">
        <v>250</v>
      </c>
      <c r="C292" s="12" t="s">
        <v>251</v>
      </c>
    </row>
    <row r="293" spans="1:3" hidden="1" x14ac:dyDescent="0.3">
      <c r="A293" s="17" t="s">
        <v>252</v>
      </c>
      <c r="B293" s="17" t="s">
        <v>253</v>
      </c>
      <c r="C293" s="12" t="s">
        <v>254</v>
      </c>
    </row>
    <row r="294" spans="1:3" hidden="1" x14ac:dyDescent="0.3">
      <c r="A294" s="17" t="s">
        <v>255</v>
      </c>
      <c r="B294" s="17" t="s">
        <v>256</v>
      </c>
      <c r="C294" s="12" t="s">
        <v>257</v>
      </c>
    </row>
    <row r="295" spans="1:3" hidden="1" x14ac:dyDescent="0.3">
      <c r="A295" s="17" t="s">
        <v>258</v>
      </c>
      <c r="B295" s="17" t="s">
        <v>259</v>
      </c>
      <c r="C295" s="12" t="s">
        <v>260</v>
      </c>
    </row>
    <row r="296" spans="1:3" hidden="1" x14ac:dyDescent="0.3">
      <c r="A296" s="17" t="s">
        <v>261</v>
      </c>
      <c r="B296" s="17" t="s">
        <v>262</v>
      </c>
      <c r="C296" s="12" t="s">
        <v>263</v>
      </c>
    </row>
    <row r="297" spans="1:3" hidden="1" x14ac:dyDescent="0.3">
      <c r="A297" s="17" t="s">
        <v>264</v>
      </c>
      <c r="B297" s="17" t="s">
        <v>265</v>
      </c>
      <c r="C297" s="12" t="s">
        <v>266</v>
      </c>
    </row>
    <row r="298" spans="1:3" hidden="1" x14ac:dyDescent="0.3">
      <c r="A298" s="17" t="s">
        <v>267</v>
      </c>
      <c r="B298" s="17" t="s">
        <v>268</v>
      </c>
      <c r="C298" s="12" t="s">
        <v>269</v>
      </c>
    </row>
    <row r="299" spans="1:3" hidden="1" x14ac:dyDescent="0.3">
      <c r="A299" s="17" t="s">
        <v>270</v>
      </c>
      <c r="B299" s="17" t="s">
        <v>271</v>
      </c>
      <c r="C299" s="12" t="s">
        <v>272</v>
      </c>
    </row>
    <row r="300" spans="1:3" hidden="1" x14ac:dyDescent="0.3">
      <c r="A300" s="17" t="s">
        <v>273</v>
      </c>
      <c r="B300" s="17" t="s">
        <v>274</v>
      </c>
      <c r="C300" s="12" t="s">
        <v>275</v>
      </c>
    </row>
    <row r="301" spans="1:3" hidden="1" x14ac:dyDescent="0.3">
      <c r="A301" s="17" t="s">
        <v>276</v>
      </c>
      <c r="B301" s="17" t="s">
        <v>277</v>
      </c>
      <c r="C301" s="12" t="s">
        <v>278</v>
      </c>
    </row>
    <row r="302" spans="1:3" hidden="1" x14ac:dyDescent="0.3">
      <c r="A302" s="17" t="s">
        <v>279</v>
      </c>
      <c r="B302" s="17" t="s">
        <v>280</v>
      </c>
      <c r="C302" s="12" t="s">
        <v>21</v>
      </c>
    </row>
    <row r="303" spans="1:3" hidden="1" x14ac:dyDescent="0.3">
      <c r="A303" s="17" t="s">
        <v>281</v>
      </c>
      <c r="B303" s="17" t="s">
        <v>282</v>
      </c>
      <c r="C303" s="12" t="s">
        <v>283</v>
      </c>
    </row>
    <row r="304" spans="1:3" hidden="1" x14ac:dyDescent="0.3">
      <c r="A304" s="17" t="s">
        <v>284</v>
      </c>
      <c r="B304" s="17" t="s">
        <v>285</v>
      </c>
      <c r="C304" s="12" t="s">
        <v>236</v>
      </c>
    </row>
    <row r="305" spans="1:3" hidden="1" x14ac:dyDescent="0.3">
      <c r="A305" s="17" t="s">
        <v>286</v>
      </c>
      <c r="B305" s="17" t="s">
        <v>287</v>
      </c>
      <c r="C305" s="12" t="s">
        <v>278</v>
      </c>
    </row>
    <row r="306" spans="1:3" hidden="1" x14ac:dyDescent="0.3">
      <c r="A306" s="17" t="s">
        <v>288</v>
      </c>
      <c r="B306" s="17" t="s">
        <v>289</v>
      </c>
      <c r="C306" s="12" t="s">
        <v>216</v>
      </c>
    </row>
    <row r="307" spans="1:3" hidden="1" x14ac:dyDescent="0.3">
      <c r="A307" s="17" t="s">
        <v>290</v>
      </c>
      <c r="B307" s="17" t="s">
        <v>291</v>
      </c>
      <c r="C307" s="12" t="s">
        <v>239</v>
      </c>
    </row>
    <row r="308" spans="1:3" hidden="1" x14ac:dyDescent="0.3">
      <c r="A308" s="17" t="s">
        <v>292</v>
      </c>
      <c r="B308" s="17" t="s">
        <v>293</v>
      </c>
      <c r="C308" s="12" t="s">
        <v>294</v>
      </c>
    </row>
    <row r="309" spans="1:3" hidden="1" x14ac:dyDescent="0.3">
      <c r="A309" s="17" t="s">
        <v>295</v>
      </c>
      <c r="B309" s="17" t="s">
        <v>296</v>
      </c>
    </row>
    <row r="310" spans="1:3" hidden="1" x14ac:dyDescent="0.3">
      <c r="A310" s="17" t="s">
        <v>297</v>
      </c>
      <c r="B310" s="17" t="s">
        <v>298</v>
      </c>
      <c r="C310" s="12" t="s">
        <v>299</v>
      </c>
    </row>
    <row r="311" spans="1:3" hidden="1" x14ac:dyDescent="0.3">
      <c r="A311" s="17" t="s">
        <v>300</v>
      </c>
      <c r="B311" s="17" t="s">
        <v>301</v>
      </c>
      <c r="C311" s="12" t="s">
        <v>302</v>
      </c>
    </row>
    <row r="312" spans="1:3" hidden="1" x14ac:dyDescent="0.3">
      <c r="A312" s="17" t="s">
        <v>303</v>
      </c>
      <c r="B312" s="17" t="s">
        <v>304</v>
      </c>
      <c r="C312" s="12" t="s">
        <v>305</v>
      </c>
    </row>
    <row r="313" spans="1:3" hidden="1" x14ac:dyDescent="0.3">
      <c r="A313" s="17" t="s">
        <v>306</v>
      </c>
      <c r="B313" s="17" t="s">
        <v>307</v>
      </c>
      <c r="C313" s="12" t="s">
        <v>308</v>
      </c>
    </row>
    <row r="314" spans="1:3" hidden="1" x14ac:dyDescent="0.3">
      <c r="A314" s="17" t="s">
        <v>309</v>
      </c>
      <c r="B314" s="17" t="s">
        <v>310</v>
      </c>
      <c r="C314" s="12" t="s">
        <v>311</v>
      </c>
    </row>
    <row r="315" spans="1:3" hidden="1" x14ac:dyDescent="0.3">
      <c r="A315" s="17" t="s">
        <v>312</v>
      </c>
      <c r="B315" s="17" t="s">
        <v>313</v>
      </c>
      <c r="C315" s="12" t="s">
        <v>314</v>
      </c>
    </row>
    <row r="316" spans="1:3" hidden="1" x14ac:dyDescent="0.3">
      <c r="A316" s="17" t="s">
        <v>315</v>
      </c>
      <c r="B316" s="17" t="s">
        <v>316</v>
      </c>
      <c r="C316" s="12" t="s">
        <v>216</v>
      </c>
    </row>
    <row r="317" spans="1:3" hidden="1" x14ac:dyDescent="0.3">
      <c r="A317" s="17" t="s">
        <v>317</v>
      </c>
      <c r="B317" s="17" t="s">
        <v>318</v>
      </c>
      <c r="C317" s="12" t="s">
        <v>319</v>
      </c>
    </row>
    <row r="318" spans="1:3" hidden="1" x14ac:dyDescent="0.3">
      <c r="A318" s="17" t="s">
        <v>320</v>
      </c>
      <c r="B318" s="17" t="s">
        <v>321</v>
      </c>
      <c r="C318" s="12" t="s">
        <v>236</v>
      </c>
    </row>
    <row r="319" spans="1:3" hidden="1" x14ac:dyDescent="0.3">
      <c r="A319" s="17" t="s">
        <v>322</v>
      </c>
      <c r="B319" s="17" t="s">
        <v>323</v>
      </c>
      <c r="C319" s="12" t="s">
        <v>169</v>
      </c>
    </row>
    <row r="320" spans="1:3" hidden="1" x14ac:dyDescent="0.3">
      <c r="A320" s="17" t="s">
        <v>324</v>
      </c>
      <c r="B320" s="17" t="s">
        <v>325</v>
      </c>
      <c r="C320" s="12" t="s">
        <v>326</v>
      </c>
    </row>
    <row r="321" spans="1:3" hidden="1" x14ac:dyDescent="0.3">
      <c r="A321" s="17" t="s">
        <v>327</v>
      </c>
      <c r="B321" s="17" t="s">
        <v>328</v>
      </c>
      <c r="C321" s="12" t="s">
        <v>216</v>
      </c>
    </row>
    <row r="322" spans="1:3" hidden="1" x14ac:dyDescent="0.3">
      <c r="A322" s="17" t="s">
        <v>329</v>
      </c>
      <c r="B322" s="17" t="s">
        <v>330</v>
      </c>
      <c r="C322" s="12" t="s">
        <v>331</v>
      </c>
    </row>
    <row r="323" spans="1:3" hidden="1" x14ac:dyDescent="0.3">
      <c r="A323" s="17" t="s">
        <v>332</v>
      </c>
      <c r="B323" s="17" t="s">
        <v>333</v>
      </c>
      <c r="C323" s="12" t="s">
        <v>334</v>
      </c>
    </row>
    <row r="324" spans="1:3" hidden="1" x14ac:dyDescent="0.3">
      <c r="A324" s="17" t="s">
        <v>335</v>
      </c>
      <c r="B324" s="17" t="s">
        <v>336</v>
      </c>
      <c r="C324" s="12" t="s">
        <v>244</v>
      </c>
    </row>
    <row r="325" spans="1:3" hidden="1" x14ac:dyDescent="0.3">
      <c r="A325" s="17" t="s">
        <v>337</v>
      </c>
      <c r="B325" s="17" t="s">
        <v>338</v>
      </c>
      <c r="C325" s="12" t="s">
        <v>339</v>
      </c>
    </row>
    <row r="326" spans="1:3" hidden="1" x14ac:dyDescent="0.3">
      <c r="A326" s="17" t="s">
        <v>340</v>
      </c>
      <c r="B326" s="17" t="s">
        <v>341</v>
      </c>
      <c r="C326" s="12" t="s">
        <v>342</v>
      </c>
    </row>
    <row r="327" spans="1:3" hidden="1" x14ac:dyDescent="0.3">
      <c r="A327" s="17" t="s">
        <v>343</v>
      </c>
      <c r="B327" s="17" t="s">
        <v>344</v>
      </c>
      <c r="C327" s="12" t="s">
        <v>345</v>
      </c>
    </row>
    <row r="328" spans="1:3" hidden="1" x14ac:dyDescent="0.3">
      <c r="A328" s="17" t="s">
        <v>346</v>
      </c>
      <c r="B328" s="17" t="s">
        <v>347</v>
      </c>
      <c r="C328" s="12" t="s">
        <v>348</v>
      </c>
    </row>
    <row r="329" spans="1:3" hidden="1" x14ac:dyDescent="0.3">
      <c r="A329" s="17" t="s">
        <v>349</v>
      </c>
      <c r="B329" s="17" t="s">
        <v>350</v>
      </c>
      <c r="C329" s="12" t="s">
        <v>351</v>
      </c>
    </row>
    <row r="330" spans="1:3" hidden="1" x14ac:dyDescent="0.3">
      <c r="A330" s="17" t="s">
        <v>352</v>
      </c>
      <c r="B330" s="17" t="s">
        <v>353</v>
      </c>
      <c r="C330" s="12" t="s">
        <v>147</v>
      </c>
    </row>
    <row r="331" spans="1:3" hidden="1" x14ac:dyDescent="0.3">
      <c r="A331" s="17" t="s">
        <v>614</v>
      </c>
      <c r="B331" s="17" t="s">
        <v>618</v>
      </c>
      <c r="C331" s="12" t="s">
        <v>622</v>
      </c>
    </row>
    <row r="332" spans="1:3" hidden="1" x14ac:dyDescent="0.3">
      <c r="A332" s="17" t="s">
        <v>615</v>
      </c>
      <c r="B332" s="17" t="s">
        <v>619</v>
      </c>
      <c r="C332" s="12" t="s">
        <v>283</v>
      </c>
    </row>
    <row r="333" spans="1:3" hidden="1" x14ac:dyDescent="0.3">
      <c r="A333" s="17" t="s">
        <v>616</v>
      </c>
      <c r="B333" s="17" t="s">
        <v>620</v>
      </c>
      <c r="C333" s="12" t="s">
        <v>359</v>
      </c>
    </row>
    <row r="334" spans="1:3" hidden="1" x14ac:dyDescent="0.3">
      <c r="A334" s="17" t="s">
        <v>648</v>
      </c>
      <c r="B334" s="17" t="s">
        <v>686</v>
      </c>
      <c r="C334" s="12" t="s">
        <v>365</v>
      </c>
    </row>
    <row r="335" spans="1:3" hidden="1" x14ac:dyDescent="0.3">
      <c r="A335" s="17" t="s">
        <v>649</v>
      </c>
      <c r="B335" s="17" t="s">
        <v>687</v>
      </c>
      <c r="C335" s="12" t="s">
        <v>365</v>
      </c>
    </row>
    <row r="336" spans="1:3" hidden="1" x14ac:dyDescent="0.3">
      <c r="A336" s="17" t="s">
        <v>650</v>
      </c>
      <c r="B336" s="17" t="s">
        <v>688</v>
      </c>
      <c r="C336" s="12" t="s">
        <v>216</v>
      </c>
    </row>
    <row r="337" spans="1:3" hidden="1" x14ac:dyDescent="0.3">
      <c r="A337" s="17" t="s">
        <v>651</v>
      </c>
      <c r="B337" s="17" t="s">
        <v>689</v>
      </c>
      <c r="C337" s="12" t="s">
        <v>216</v>
      </c>
    </row>
    <row r="338" spans="1:3" hidden="1" x14ac:dyDescent="0.3">
      <c r="A338" s="17" t="s">
        <v>727</v>
      </c>
      <c r="B338" s="17" t="s">
        <v>726</v>
      </c>
    </row>
    <row r="339" spans="1:3" hidden="1" x14ac:dyDescent="0.3">
      <c r="A339" s="17" t="s">
        <v>728</v>
      </c>
      <c r="B339" s="17" t="s">
        <v>729</v>
      </c>
    </row>
    <row r="340" spans="1:3" hidden="1" x14ac:dyDescent="0.3">
      <c r="A340" s="17" t="s">
        <v>730</v>
      </c>
      <c r="B340" s="17" t="s">
        <v>731</v>
      </c>
    </row>
    <row r="341" spans="1:3" hidden="1" x14ac:dyDescent="0.3">
      <c r="A341" s="17" t="s">
        <v>732</v>
      </c>
      <c r="B341" s="17" t="s">
        <v>733</v>
      </c>
    </row>
    <row r="342" spans="1:3" hidden="1" x14ac:dyDescent="0.3">
      <c r="A342" s="17" t="s">
        <v>734</v>
      </c>
      <c r="B342" s="17" t="s">
        <v>735</v>
      </c>
    </row>
    <row r="343" spans="1:3" hidden="1" x14ac:dyDescent="0.3">
      <c r="A343" s="17" t="s">
        <v>617</v>
      </c>
      <c r="B343" s="17" t="s">
        <v>621</v>
      </c>
      <c r="C343" s="12" t="s">
        <v>359</v>
      </c>
    </row>
    <row r="344" spans="1:3" hidden="1" x14ac:dyDescent="0.3">
      <c r="A344" s="17" t="s">
        <v>354</v>
      </c>
      <c r="B344" s="17" t="s">
        <v>355</v>
      </c>
      <c r="C344" s="12" t="s">
        <v>356</v>
      </c>
    </row>
    <row r="345" spans="1:3" hidden="1" x14ac:dyDescent="0.3">
      <c r="A345" s="17" t="s">
        <v>357</v>
      </c>
      <c r="B345" s="17" t="s">
        <v>358</v>
      </c>
      <c r="C345" s="12" t="s">
        <v>359</v>
      </c>
    </row>
    <row r="346" spans="1:3" hidden="1" x14ac:dyDescent="0.3">
      <c r="A346" s="17" t="s">
        <v>360</v>
      </c>
      <c r="B346" s="17" t="s">
        <v>361</v>
      </c>
      <c r="C346" s="12" t="s">
        <v>361</v>
      </c>
    </row>
    <row r="347" spans="1:3" hidden="1" x14ac:dyDescent="0.3">
      <c r="A347" s="17" t="s">
        <v>362</v>
      </c>
      <c r="B347" s="17" t="s">
        <v>363</v>
      </c>
      <c r="C347" s="12" t="s">
        <v>363</v>
      </c>
    </row>
    <row r="348" spans="1:3" hidden="1" x14ac:dyDescent="0.3">
      <c r="A348" s="17" t="s">
        <v>364</v>
      </c>
      <c r="B348" s="17" t="s">
        <v>365</v>
      </c>
      <c r="C348" s="12" t="s">
        <v>365</v>
      </c>
    </row>
    <row r="349" spans="1:3" hidden="1" x14ac:dyDescent="0.3">
      <c r="A349" s="17" t="s">
        <v>366</v>
      </c>
      <c r="B349" s="17" t="s">
        <v>367</v>
      </c>
      <c r="C349" s="12" t="s">
        <v>367</v>
      </c>
    </row>
    <row r="350" spans="1:3" hidden="1" x14ac:dyDescent="0.3">
      <c r="A350" s="17" t="s">
        <v>368</v>
      </c>
      <c r="B350" s="17" t="s">
        <v>369</v>
      </c>
      <c r="C350" s="12" t="s">
        <v>369</v>
      </c>
    </row>
    <row r="351" spans="1:3" hidden="1" x14ac:dyDescent="0.3">
      <c r="A351" s="17" t="s">
        <v>370</v>
      </c>
      <c r="B351" s="17" t="s">
        <v>371</v>
      </c>
      <c r="C351" s="12" t="s">
        <v>371</v>
      </c>
    </row>
    <row r="352" spans="1:3" hidden="1" x14ac:dyDescent="0.3">
      <c r="A352" s="17" t="s">
        <v>372</v>
      </c>
      <c r="B352" s="17" t="s">
        <v>373</v>
      </c>
      <c r="C352" s="12" t="s">
        <v>373</v>
      </c>
    </row>
    <row r="353" spans="1:3" hidden="1" x14ac:dyDescent="0.3">
      <c r="A353" s="17" t="s">
        <v>374</v>
      </c>
      <c r="B353" s="17" t="s">
        <v>375</v>
      </c>
      <c r="C353" s="12" t="s">
        <v>375</v>
      </c>
    </row>
    <row r="354" spans="1:3" hidden="1" x14ac:dyDescent="0.3">
      <c r="A354" s="17" t="s">
        <v>376</v>
      </c>
      <c r="B354" s="17" t="s">
        <v>377</v>
      </c>
      <c r="C354" s="12" t="s">
        <v>377</v>
      </c>
    </row>
    <row r="355" spans="1:3" hidden="1" x14ac:dyDescent="0.3">
      <c r="A355" s="17" t="s">
        <v>378</v>
      </c>
      <c r="B355" s="17" t="s">
        <v>379</v>
      </c>
      <c r="C355" s="12" t="s">
        <v>379</v>
      </c>
    </row>
    <row r="356" spans="1:3" hidden="1" x14ac:dyDescent="0.3">
      <c r="A356" s="17" t="s">
        <v>380</v>
      </c>
      <c r="B356" s="17" t="s">
        <v>381</v>
      </c>
      <c r="C356" s="12" t="s">
        <v>381</v>
      </c>
    </row>
    <row r="357" spans="1:3" hidden="1" x14ac:dyDescent="0.3">
      <c r="A357" s="17" t="s">
        <v>382</v>
      </c>
      <c r="B357" s="17" t="s">
        <v>383</v>
      </c>
      <c r="C357" s="12" t="s">
        <v>383</v>
      </c>
    </row>
    <row r="358" spans="1:3" hidden="1" x14ac:dyDescent="0.3">
      <c r="A358" s="17" t="s">
        <v>384</v>
      </c>
      <c r="B358" s="17" t="s">
        <v>385</v>
      </c>
      <c r="C358" s="12" t="s">
        <v>385</v>
      </c>
    </row>
    <row r="359" spans="1:3" hidden="1" x14ac:dyDescent="0.3">
      <c r="A359" s="17" t="s">
        <v>386</v>
      </c>
      <c r="B359" s="17" t="s">
        <v>387</v>
      </c>
      <c r="C359" s="12" t="s">
        <v>387</v>
      </c>
    </row>
    <row r="360" spans="1:3" hidden="1" x14ac:dyDescent="0.3">
      <c r="A360" s="17" t="s">
        <v>388</v>
      </c>
      <c r="B360" s="17" t="s">
        <v>389</v>
      </c>
      <c r="C360" s="12" t="s">
        <v>389</v>
      </c>
    </row>
    <row r="361" spans="1:3" hidden="1" x14ac:dyDescent="0.3">
      <c r="A361" s="17" t="s">
        <v>390</v>
      </c>
      <c r="B361" s="17" t="s">
        <v>391</v>
      </c>
      <c r="C361" s="12" t="s">
        <v>391</v>
      </c>
    </row>
    <row r="362" spans="1:3" hidden="1" x14ac:dyDescent="0.3">
      <c r="A362" s="17" t="s">
        <v>392</v>
      </c>
      <c r="B362" s="17" t="s">
        <v>393</v>
      </c>
      <c r="C362" s="12" t="s">
        <v>393</v>
      </c>
    </row>
    <row r="363" spans="1:3" hidden="1" x14ac:dyDescent="0.3">
      <c r="A363" s="17" t="s">
        <v>394</v>
      </c>
      <c r="B363" s="17" t="s">
        <v>395</v>
      </c>
      <c r="C363" s="12" t="s">
        <v>395</v>
      </c>
    </row>
    <row r="364" spans="1:3" hidden="1" x14ac:dyDescent="0.3">
      <c r="A364" s="17" t="s">
        <v>396</v>
      </c>
      <c r="B364" s="17" t="s">
        <v>397</v>
      </c>
      <c r="C364" s="12" t="s">
        <v>397</v>
      </c>
    </row>
    <row r="365" spans="1:3" hidden="1" x14ac:dyDescent="0.3">
      <c r="A365" s="17" t="s">
        <v>398</v>
      </c>
      <c r="B365" s="17" t="s">
        <v>399</v>
      </c>
      <c r="C365" s="12" t="s">
        <v>399</v>
      </c>
    </row>
    <row r="366" spans="1:3" hidden="1" x14ac:dyDescent="0.3">
      <c r="A366" s="17" t="s">
        <v>400</v>
      </c>
      <c r="B366" s="17" t="s">
        <v>401</v>
      </c>
      <c r="C366" s="12" t="s">
        <v>401</v>
      </c>
    </row>
    <row r="367" spans="1:3" hidden="1" x14ac:dyDescent="0.3">
      <c r="A367" s="17" t="s">
        <v>402</v>
      </c>
      <c r="B367" s="17" t="s">
        <v>403</v>
      </c>
      <c r="C367" s="12" t="s">
        <v>403</v>
      </c>
    </row>
    <row r="368" spans="1:3" hidden="1" x14ac:dyDescent="0.3">
      <c r="A368" s="17" t="s">
        <v>404</v>
      </c>
      <c r="B368" s="17" t="s">
        <v>405</v>
      </c>
      <c r="C368" s="12" t="s">
        <v>405</v>
      </c>
    </row>
    <row r="369" spans="1:3" hidden="1" x14ac:dyDescent="0.3">
      <c r="A369" s="17" t="s">
        <v>406</v>
      </c>
      <c r="B369" s="17" t="s">
        <v>407</v>
      </c>
      <c r="C369" s="12" t="s">
        <v>407</v>
      </c>
    </row>
    <row r="370" spans="1:3" hidden="1" x14ac:dyDescent="0.3">
      <c r="A370" s="17" t="s">
        <v>613</v>
      </c>
      <c r="B370" s="17" t="s">
        <v>407</v>
      </c>
    </row>
    <row r="371" spans="1:3" hidden="1" x14ac:dyDescent="0.3">
      <c r="A371" s="17" t="s">
        <v>736</v>
      </c>
      <c r="B371" s="17" t="s">
        <v>737</v>
      </c>
    </row>
    <row r="372" spans="1:3" hidden="1" x14ac:dyDescent="0.3">
      <c r="A372" s="17" t="s">
        <v>408</v>
      </c>
      <c r="B372" s="17" t="s">
        <v>409</v>
      </c>
    </row>
    <row r="373" spans="1:3" hidden="1" x14ac:dyDescent="0.3">
      <c r="A373" s="17" t="s">
        <v>410</v>
      </c>
      <c r="B373" s="17" t="s">
        <v>411</v>
      </c>
    </row>
    <row r="374" spans="1:3" hidden="1" x14ac:dyDescent="0.3">
      <c r="A374" s="17" t="s">
        <v>412</v>
      </c>
      <c r="B374" s="17" t="s">
        <v>413</v>
      </c>
    </row>
    <row r="375" spans="1:3" hidden="1" x14ac:dyDescent="0.3">
      <c r="A375" s="17" t="s">
        <v>414</v>
      </c>
      <c r="B375" s="17" t="s">
        <v>415</v>
      </c>
    </row>
    <row r="376" spans="1:3" hidden="1" x14ac:dyDescent="0.3">
      <c r="A376" s="17" t="s">
        <v>416</v>
      </c>
      <c r="B376" s="17" t="s">
        <v>417</v>
      </c>
    </row>
    <row r="377" spans="1:3" hidden="1" x14ac:dyDescent="0.3">
      <c r="A377" s="17" t="s">
        <v>418</v>
      </c>
      <c r="B377" s="17" t="s">
        <v>419</v>
      </c>
    </row>
    <row r="378" spans="1:3" hidden="1" x14ac:dyDescent="0.3">
      <c r="A378" s="17" t="s">
        <v>420</v>
      </c>
      <c r="B378" s="17" t="s">
        <v>421</v>
      </c>
    </row>
    <row r="379" spans="1:3" hidden="1" x14ac:dyDescent="0.3">
      <c r="A379" s="17" t="s">
        <v>422</v>
      </c>
      <c r="B379" s="17" t="s">
        <v>423</v>
      </c>
    </row>
    <row r="380" spans="1:3" hidden="1" x14ac:dyDescent="0.3">
      <c r="A380" s="17" t="s">
        <v>424</v>
      </c>
      <c r="B380" s="17" t="s">
        <v>425</v>
      </c>
    </row>
    <row r="381" spans="1:3" hidden="1" x14ac:dyDescent="0.3">
      <c r="A381" s="17" t="s">
        <v>426</v>
      </c>
      <c r="B381" s="17" t="s">
        <v>427</v>
      </c>
    </row>
    <row r="382" spans="1:3" hidden="1" x14ac:dyDescent="0.3">
      <c r="A382" s="17" t="s">
        <v>428</v>
      </c>
      <c r="B382" s="17" t="s">
        <v>429</v>
      </c>
    </row>
    <row r="383" spans="1:3" hidden="1" x14ac:dyDescent="0.3">
      <c r="A383" s="17" t="s">
        <v>430</v>
      </c>
      <c r="B383" s="17" t="s">
        <v>431</v>
      </c>
    </row>
    <row r="384" spans="1:3" hidden="1" x14ac:dyDescent="0.3">
      <c r="A384" s="17" t="s">
        <v>432</v>
      </c>
      <c r="B384" s="17" t="s">
        <v>433</v>
      </c>
    </row>
    <row r="385" spans="1:2" hidden="1" x14ac:dyDescent="0.3">
      <c r="A385" s="17" t="s">
        <v>434</v>
      </c>
      <c r="B385" s="17" t="s">
        <v>435</v>
      </c>
    </row>
    <row r="386" spans="1:2" hidden="1" x14ac:dyDescent="0.3">
      <c r="A386" s="17" t="s">
        <v>436</v>
      </c>
      <c r="B386" s="17" t="s">
        <v>437</v>
      </c>
    </row>
    <row r="387" spans="1:2" hidden="1" x14ac:dyDescent="0.3">
      <c r="A387" s="17" t="s">
        <v>438</v>
      </c>
      <c r="B387" s="17" t="s">
        <v>439</v>
      </c>
    </row>
    <row r="388" spans="1:2" hidden="1" x14ac:dyDescent="0.3">
      <c r="A388" s="17" t="s">
        <v>440</v>
      </c>
      <c r="B388" s="17" t="s">
        <v>441</v>
      </c>
    </row>
    <row r="389" spans="1:2" hidden="1" x14ac:dyDescent="0.3">
      <c r="A389" s="17" t="s">
        <v>442</v>
      </c>
      <c r="B389" s="17" t="s">
        <v>443</v>
      </c>
    </row>
    <row r="390" spans="1:2" hidden="1" x14ac:dyDescent="0.3">
      <c r="A390" s="17" t="s">
        <v>444</v>
      </c>
      <c r="B390" s="17" t="s">
        <v>445</v>
      </c>
    </row>
    <row r="391" spans="1:2" hidden="1" x14ac:dyDescent="0.3">
      <c r="A391" s="17" t="s">
        <v>446</v>
      </c>
      <c r="B391" s="17" t="s">
        <v>447</v>
      </c>
    </row>
    <row r="392" spans="1:2" hidden="1" x14ac:dyDescent="0.3">
      <c r="A392" s="17" t="s">
        <v>448</v>
      </c>
      <c r="B392" s="17" t="s">
        <v>449</v>
      </c>
    </row>
    <row r="393" spans="1:2" hidden="1" x14ac:dyDescent="0.3">
      <c r="A393" s="17" t="s">
        <v>450</v>
      </c>
      <c r="B393" s="17" t="s">
        <v>451</v>
      </c>
    </row>
    <row r="394" spans="1:2" hidden="1" x14ac:dyDescent="0.3">
      <c r="A394" s="17" t="s">
        <v>452</v>
      </c>
      <c r="B394" s="17" t="s">
        <v>453</v>
      </c>
    </row>
    <row r="395" spans="1:2" hidden="1" x14ac:dyDescent="0.3">
      <c r="A395" s="17" t="s">
        <v>454</v>
      </c>
      <c r="B395" s="17" t="s">
        <v>455</v>
      </c>
    </row>
    <row r="396" spans="1:2" hidden="1" x14ac:dyDescent="0.3">
      <c r="A396" s="17" t="s">
        <v>456</v>
      </c>
      <c r="B396" s="17" t="s">
        <v>457</v>
      </c>
    </row>
    <row r="397" spans="1:2" hidden="1" x14ac:dyDescent="0.3">
      <c r="A397" s="17" t="s">
        <v>458</v>
      </c>
      <c r="B397" s="17" t="s">
        <v>459</v>
      </c>
    </row>
    <row r="398" spans="1:2" hidden="1" x14ac:dyDescent="0.3">
      <c r="A398" s="17" t="s">
        <v>460</v>
      </c>
      <c r="B398" s="17" t="s">
        <v>461</v>
      </c>
    </row>
    <row r="399" spans="1:2" hidden="1" x14ac:dyDescent="0.3">
      <c r="A399" s="17" t="s">
        <v>462</v>
      </c>
      <c r="B399" s="17" t="s">
        <v>463</v>
      </c>
    </row>
    <row r="400" spans="1:2" hidden="1" x14ac:dyDescent="0.3">
      <c r="A400" s="17" t="s">
        <v>464</v>
      </c>
      <c r="B400" s="17" t="s">
        <v>465</v>
      </c>
    </row>
    <row r="401" spans="1:2" hidden="1" x14ac:dyDescent="0.3">
      <c r="A401" s="17" t="s">
        <v>466</v>
      </c>
      <c r="B401" s="17" t="s">
        <v>467</v>
      </c>
    </row>
    <row r="402" spans="1:2" hidden="1" x14ac:dyDescent="0.3">
      <c r="A402" s="17" t="s">
        <v>468</v>
      </c>
      <c r="B402" s="17" t="s">
        <v>469</v>
      </c>
    </row>
    <row r="403" spans="1:2" hidden="1" x14ac:dyDescent="0.3">
      <c r="A403" s="17" t="s">
        <v>470</v>
      </c>
      <c r="B403" s="17" t="s">
        <v>471</v>
      </c>
    </row>
    <row r="404" spans="1:2" hidden="1" x14ac:dyDescent="0.3">
      <c r="A404" s="17" t="s">
        <v>472</v>
      </c>
      <c r="B404" s="17" t="s">
        <v>473</v>
      </c>
    </row>
    <row r="405" spans="1:2" hidden="1" x14ac:dyDescent="0.3">
      <c r="A405" s="17" t="s">
        <v>474</v>
      </c>
      <c r="B405" s="17" t="s">
        <v>475</v>
      </c>
    </row>
    <row r="406" spans="1:2" hidden="1" x14ac:dyDescent="0.3">
      <c r="A406" s="17" t="s">
        <v>476</v>
      </c>
      <c r="B406" s="17" t="s">
        <v>477</v>
      </c>
    </row>
    <row r="407" spans="1:2" hidden="1" x14ac:dyDescent="0.3">
      <c r="A407" s="17" t="s">
        <v>478</v>
      </c>
      <c r="B407" s="17" t="s">
        <v>479</v>
      </c>
    </row>
    <row r="408" spans="1:2" hidden="1" x14ac:dyDescent="0.3">
      <c r="A408" s="17" t="s">
        <v>480</v>
      </c>
      <c r="B408" s="17" t="s">
        <v>481</v>
      </c>
    </row>
    <row r="409" spans="1:2" hidden="1" x14ac:dyDescent="0.3">
      <c r="A409" s="17" t="s">
        <v>482</v>
      </c>
      <c r="B409" s="17" t="s">
        <v>483</v>
      </c>
    </row>
    <row r="410" spans="1:2" hidden="1" x14ac:dyDescent="0.3">
      <c r="A410" s="17" t="s">
        <v>484</v>
      </c>
      <c r="B410" s="17" t="s">
        <v>485</v>
      </c>
    </row>
    <row r="411" spans="1:2" hidden="1" x14ac:dyDescent="0.3">
      <c r="A411" s="17" t="s">
        <v>486</v>
      </c>
      <c r="B411" s="17" t="s">
        <v>487</v>
      </c>
    </row>
    <row r="412" spans="1:2" hidden="1" x14ac:dyDescent="0.3">
      <c r="A412" s="17" t="s">
        <v>488</v>
      </c>
      <c r="B412" s="17" t="s">
        <v>489</v>
      </c>
    </row>
    <row r="413" spans="1:2" hidden="1" x14ac:dyDescent="0.3">
      <c r="A413" s="17" t="s">
        <v>490</v>
      </c>
      <c r="B413" s="17" t="s">
        <v>491</v>
      </c>
    </row>
    <row r="414" spans="1:2" hidden="1" x14ac:dyDescent="0.3">
      <c r="A414" s="17" t="s">
        <v>492</v>
      </c>
      <c r="B414" s="17" t="s">
        <v>493</v>
      </c>
    </row>
    <row r="415" spans="1:2" hidden="1" x14ac:dyDescent="0.3">
      <c r="A415" s="17" t="s">
        <v>494</v>
      </c>
      <c r="B415" s="17" t="s">
        <v>495</v>
      </c>
    </row>
    <row r="416" spans="1:2" hidden="1" x14ac:dyDescent="0.3">
      <c r="A416" s="17" t="s">
        <v>496</v>
      </c>
      <c r="B416" s="17" t="s">
        <v>497</v>
      </c>
    </row>
    <row r="417" spans="1:2" hidden="1" x14ac:dyDescent="0.3">
      <c r="A417" s="17" t="s">
        <v>498</v>
      </c>
      <c r="B417" s="17" t="s">
        <v>499</v>
      </c>
    </row>
    <row r="418" spans="1:2" hidden="1" x14ac:dyDescent="0.3">
      <c r="A418" s="17" t="s">
        <v>500</v>
      </c>
      <c r="B418" s="17" t="s">
        <v>501</v>
      </c>
    </row>
    <row r="419" spans="1:2" hidden="1" x14ac:dyDescent="0.3">
      <c r="A419" s="17" t="s">
        <v>502</v>
      </c>
      <c r="B419" s="17" t="s">
        <v>503</v>
      </c>
    </row>
    <row r="420" spans="1:2" hidden="1" x14ac:dyDescent="0.3">
      <c r="A420" s="17" t="s">
        <v>504</v>
      </c>
      <c r="B420" s="17" t="s">
        <v>505</v>
      </c>
    </row>
    <row r="421" spans="1:2" hidden="1" x14ac:dyDescent="0.3">
      <c r="A421" s="17" t="s">
        <v>506</v>
      </c>
      <c r="B421" s="17" t="s">
        <v>507</v>
      </c>
    </row>
    <row r="422" spans="1:2" hidden="1" x14ac:dyDescent="0.3">
      <c r="A422" s="17" t="s">
        <v>508</v>
      </c>
      <c r="B422" s="17" t="s">
        <v>509</v>
      </c>
    </row>
    <row r="423" spans="1:2" hidden="1" x14ac:dyDescent="0.3">
      <c r="A423" s="17" t="s">
        <v>510</v>
      </c>
      <c r="B423" s="17" t="s">
        <v>511</v>
      </c>
    </row>
    <row r="424" spans="1:2" hidden="1" x14ac:dyDescent="0.3">
      <c r="A424" s="17" t="s">
        <v>512</v>
      </c>
      <c r="B424" s="17" t="s">
        <v>513</v>
      </c>
    </row>
    <row r="425" spans="1:2" hidden="1" x14ac:dyDescent="0.3">
      <c r="A425" s="17" t="s">
        <v>514</v>
      </c>
      <c r="B425" s="17" t="s">
        <v>515</v>
      </c>
    </row>
    <row r="426" spans="1:2" hidden="1" x14ac:dyDescent="0.3">
      <c r="A426" s="17" t="s">
        <v>516</v>
      </c>
      <c r="B426" s="17" t="s">
        <v>517</v>
      </c>
    </row>
    <row r="427" spans="1:2" hidden="1" x14ac:dyDescent="0.3">
      <c r="A427" s="17" t="s">
        <v>518</v>
      </c>
      <c r="B427" s="17" t="s">
        <v>519</v>
      </c>
    </row>
    <row r="428" spans="1:2" hidden="1" x14ac:dyDescent="0.3">
      <c r="A428" s="17" t="s">
        <v>520</v>
      </c>
      <c r="B428" s="17" t="s">
        <v>521</v>
      </c>
    </row>
    <row r="429" spans="1:2" hidden="1" x14ac:dyDescent="0.3">
      <c r="A429" s="17" t="s">
        <v>522</v>
      </c>
      <c r="B429" s="17" t="s">
        <v>523</v>
      </c>
    </row>
    <row r="430" spans="1:2" hidden="1" x14ac:dyDescent="0.3">
      <c r="A430" s="17" t="s">
        <v>524</v>
      </c>
      <c r="B430" s="17" t="s">
        <v>525</v>
      </c>
    </row>
    <row r="431" spans="1:2" hidden="1" x14ac:dyDescent="0.3">
      <c r="A431" s="17" t="s">
        <v>526</v>
      </c>
      <c r="B431" s="17" t="s">
        <v>527</v>
      </c>
    </row>
    <row r="432" spans="1:2" hidden="1" x14ac:dyDescent="0.3">
      <c r="A432" s="17" t="s">
        <v>528</v>
      </c>
      <c r="B432" s="17" t="s">
        <v>529</v>
      </c>
    </row>
    <row r="433" spans="1:2" hidden="1" x14ac:dyDescent="0.3">
      <c r="A433" s="17" t="s">
        <v>530</v>
      </c>
      <c r="B433" s="17" t="s">
        <v>531</v>
      </c>
    </row>
    <row r="434" spans="1:2" hidden="1" x14ac:dyDescent="0.3">
      <c r="A434" s="17" t="s">
        <v>532</v>
      </c>
      <c r="B434" s="17" t="s">
        <v>533</v>
      </c>
    </row>
    <row r="435" spans="1:2" hidden="1" x14ac:dyDescent="0.3">
      <c r="A435" s="17" t="s">
        <v>534</v>
      </c>
      <c r="B435" s="17" t="s">
        <v>535</v>
      </c>
    </row>
    <row r="436" spans="1:2" hidden="1" x14ac:dyDescent="0.3">
      <c r="A436" s="17" t="s">
        <v>536</v>
      </c>
      <c r="B436" s="17" t="s">
        <v>537</v>
      </c>
    </row>
    <row r="437" spans="1:2" hidden="1" x14ac:dyDescent="0.3">
      <c r="A437" s="17" t="s">
        <v>623</v>
      </c>
      <c r="B437" s="17" t="s">
        <v>627</v>
      </c>
    </row>
    <row r="438" spans="1:2" hidden="1" x14ac:dyDescent="0.3">
      <c r="A438" s="17" t="s">
        <v>624</v>
      </c>
      <c r="B438" s="17" t="s">
        <v>628</v>
      </c>
    </row>
    <row r="439" spans="1:2" hidden="1" x14ac:dyDescent="0.3">
      <c r="A439" s="17" t="s">
        <v>625</v>
      </c>
      <c r="B439" s="17" t="s">
        <v>629</v>
      </c>
    </row>
    <row r="440" spans="1:2" hidden="1" x14ac:dyDescent="0.3">
      <c r="A440" s="17" t="s">
        <v>626</v>
      </c>
      <c r="B440" s="17" t="s">
        <v>630</v>
      </c>
    </row>
    <row r="441" spans="1:2" hidden="1" x14ac:dyDescent="0.3">
      <c r="A441" s="17" t="s">
        <v>652</v>
      </c>
      <c r="B441" s="17"/>
    </row>
    <row r="442" spans="1:2" hidden="1" x14ac:dyDescent="0.3">
      <c r="A442" s="17" t="s">
        <v>653</v>
      </c>
      <c r="B442" s="17"/>
    </row>
    <row r="443" spans="1:2" hidden="1" x14ac:dyDescent="0.3">
      <c r="A443" s="17" t="s">
        <v>654</v>
      </c>
      <c r="B443" s="17"/>
    </row>
    <row r="444" spans="1:2" hidden="1" x14ac:dyDescent="0.3">
      <c r="A444" s="17" t="s">
        <v>655</v>
      </c>
      <c r="B444" s="17"/>
    </row>
    <row r="445" spans="1:2" hidden="1" x14ac:dyDescent="0.3">
      <c r="A445" s="17" t="s">
        <v>656</v>
      </c>
      <c r="B445" s="17"/>
    </row>
    <row r="446" spans="1:2" hidden="1" x14ac:dyDescent="0.3">
      <c r="A446" s="17"/>
      <c r="B446" s="17"/>
    </row>
    <row r="447" spans="1:2" hidden="1" x14ac:dyDescent="0.3">
      <c r="A447" s="22" t="s">
        <v>538</v>
      </c>
      <c r="B447" s="22" t="s">
        <v>539</v>
      </c>
    </row>
    <row r="448" spans="1:2" hidden="1" x14ac:dyDescent="0.3">
      <c r="A448" s="17" t="s">
        <v>7</v>
      </c>
      <c r="B448" s="17" t="s">
        <v>540</v>
      </c>
    </row>
    <row r="449" spans="1:2" hidden="1" x14ac:dyDescent="0.3">
      <c r="A449" s="17" t="s">
        <v>408</v>
      </c>
      <c r="B449" s="17" t="s">
        <v>409</v>
      </c>
    </row>
    <row r="450" spans="1:2" hidden="1" x14ac:dyDescent="0.3">
      <c r="A450" s="17" t="s">
        <v>410</v>
      </c>
      <c r="B450" s="17" t="s">
        <v>411</v>
      </c>
    </row>
    <row r="451" spans="1:2" hidden="1" x14ac:dyDescent="0.3">
      <c r="A451" s="17" t="s">
        <v>412</v>
      </c>
      <c r="B451" s="17" t="s">
        <v>413</v>
      </c>
    </row>
    <row r="452" spans="1:2" hidden="1" x14ac:dyDescent="0.3">
      <c r="A452" s="17" t="s">
        <v>414</v>
      </c>
      <c r="B452" s="17" t="s">
        <v>415</v>
      </c>
    </row>
    <row r="453" spans="1:2" hidden="1" x14ac:dyDescent="0.3">
      <c r="A453" s="17" t="s">
        <v>416</v>
      </c>
      <c r="B453" s="17" t="s">
        <v>417</v>
      </c>
    </row>
    <row r="454" spans="1:2" hidden="1" x14ac:dyDescent="0.3">
      <c r="A454" s="17" t="s">
        <v>418</v>
      </c>
      <c r="B454" s="17" t="s">
        <v>419</v>
      </c>
    </row>
    <row r="455" spans="1:2" hidden="1" x14ac:dyDescent="0.3">
      <c r="A455" s="17" t="s">
        <v>420</v>
      </c>
      <c r="B455" s="17" t="s">
        <v>421</v>
      </c>
    </row>
    <row r="456" spans="1:2" hidden="1" x14ac:dyDescent="0.3">
      <c r="A456" s="17" t="s">
        <v>422</v>
      </c>
      <c r="B456" s="17" t="s">
        <v>423</v>
      </c>
    </row>
    <row r="457" spans="1:2" hidden="1" x14ac:dyDescent="0.3">
      <c r="A457" s="17" t="s">
        <v>424</v>
      </c>
      <c r="B457" s="17" t="s">
        <v>425</v>
      </c>
    </row>
    <row r="458" spans="1:2" hidden="1" x14ac:dyDescent="0.3">
      <c r="A458" s="17" t="s">
        <v>426</v>
      </c>
      <c r="B458" s="17" t="s">
        <v>427</v>
      </c>
    </row>
    <row r="459" spans="1:2" hidden="1" x14ac:dyDescent="0.3">
      <c r="A459" s="17" t="s">
        <v>428</v>
      </c>
      <c r="B459" s="17" t="s">
        <v>429</v>
      </c>
    </row>
    <row r="460" spans="1:2" hidden="1" x14ac:dyDescent="0.3">
      <c r="A460" s="17" t="s">
        <v>430</v>
      </c>
      <c r="B460" s="17" t="s">
        <v>431</v>
      </c>
    </row>
    <row r="461" spans="1:2" hidden="1" x14ac:dyDescent="0.3">
      <c r="A461" s="17" t="s">
        <v>432</v>
      </c>
      <c r="B461" s="17" t="s">
        <v>433</v>
      </c>
    </row>
    <row r="462" spans="1:2" hidden="1" x14ac:dyDescent="0.3">
      <c r="A462" s="17" t="s">
        <v>434</v>
      </c>
      <c r="B462" s="17" t="s">
        <v>435</v>
      </c>
    </row>
    <row r="463" spans="1:2" hidden="1" x14ac:dyDescent="0.3">
      <c r="A463" s="17" t="s">
        <v>436</v>
      </c>
      <c r="B463" s="17" t="s">
        <v>437</v>
      </c>
    </row>
    <row r="464" spans="1:2" hidden="1" x14ac:dyDescent="0.3">
      <c r="A464" s="17" t="s">
        <v>438</v>
      </c>
      <c r="B464" s="17" t="s">
        <v>439</v>
      </c>
    </row>
    <row r="465" spans="1:2" hidden="1" x14ac:dyDescent="0.3">
      <c r="A465" s="17" t="s">
        <v>440</v>
      </c>
      <c r="B465" s="17" t="s">
        <v>441</v>
      </c>
    </row>
    <row r="466" spans="1:2" hidden="1" x14ac:dyDescent="0.3">
      <c r="A466" s="17" t="s">
        <v>442</v>
      </c>
      <c r="B466" s="17" t="s">
        <v>443</v>
      </c>
    </row>
    <row r="467" spans="1:2" hidden="1" x14ac:dyDescent="0.3">
      <c r="A467" s="17" t="s">
        <v>444</v>
      </c>
      <c r="B467" s="17" t="s">
        <v>445</v>
      </c>
    </row>
    <row r="468" spans="1:2" hidden="1" x14ac:dyDescent="0.3">
      <c r="A468" s="17" t="s">
        <v>446</v>
      </c>
      <c r="B468" s="17" t="s">
        <v>447</v>
      </c>
    </row>
    <row r="469" spans="1:2" hidden="1" x14ac:dyDescent="0.3">
      <c r="A469" s="17" t="s">
        <v>448</v>
      </c>
      <c r="B469" s="17" t="s">
        <v>449</v>
      </c>
    </row>
    <row r="470" spans="1:2" hidden="1" x14ac:dyDescent="0.3">
      <c r="A470" s="17" t="s">
        <v>450</v>
      </c>
      <c r="B470" s="17" t="s">
        <v>451</v>
      </c>
    </row>
    <row r="471" spans="1:2" hidden="1" x14ac:dyDescent="0.3">
      <c r="A471" s="17" t="s">
        <v>452</v>
      </c>
      <c r="B471" s="17" t="s">
        <v>453</v>
      </c>
    </row>
    <row r="472" spans="1:2" hidden="1" x14ac:dyDescent="0.3">
      <c r="A472" s="17" t="s">
        <v>454</v>
      </c>
      <c r="B472" s="17" t="s">
        <v>455</v>
      </c>
    </row>
    <row r="473" spans="1:2" hidden="1" x14ac:dyDescent="0.3">
      <c r="A473" s="17" t="s">
        <v>456</v>
      </c>
      <c r="B473" s="17" t="s">
        <v>457</v>
      </c>
    </row>
    <row r="474" spans="1:2" hidden="1" x14ac:dyDescent="0.3">
      <c r="A474" s="17" t="s">
        <v>458</v>
      </c>
      <c r="B474" s="17" t="s">
        <v>459</v>
      </c>
    </row>
    <row r="475" spans="1:2" hidden="1" x14ac:dyDescent="0.3">
      <c r="A475" s="17" t="s">
        <v>460</v>
      </c>
      <c r="B475" s="17" t="s">
        <v>461</v>
      </c>
    </row>
    <row r="476" spans="1:2" hidden="1" x14ac:dyDescent="0.3">
      <c r="A476" s="17" t="s">
        <v>462</v>
      </c>
      <c r="B476" s="17" t="s">
        <v>463</v>
      </c>
    </row>
    <row r="477" spans="1:2" hidden="1" x14ac:dyDescent="0.3">
      <c r="A477" s="17" t="s">
        <v>464</v>
      </c>
      <c r="B477" s="17" t="s">
        <v>465</v>
      </c>
    </row>
    <row r="478" spans="1:2" hidden="1" x14ac:dyDescent="0.3">
      <c r="A478" s="17" t="s">
        <v>466</v>
      </c>
      <c r="B478" s="17" t="s">
        <v>467</v>
      </c>
    </row>
    <row r="479" spans="1:2" hidden="1" x14ac:dyDescent="0.3">
      <c r="A479" s="17" t="s">
        <v>468</v>
      </c>
      <c r="B479" s="17" t="s">
        <v>469</v>
      </c>
    </row>
    <row r="480" spans="1:2" hidden="1" x14ac:dyDescent="0.3">
      <c r="A480" s="17" t="s">
        <v>470</v>
      </c>
      <c r="B480" s="17" t="s">
        <v>471</v>
      </c>
    </row>
    <row r="481" spans="1:2" hidden="1" x14ac:dyDescent="0.3">
      <c r="A481" s="17" t="s">
        <v>472</v>
      </c>
      <c r="B481" s="17" t="s">
        <v>473</v>
      </c>
    </row>
    <row r="482" spans="1:2" hidden="1" x14ac:dyDescent="0.3">
      <c r="A482" s="17" t="s">
        <v>474</v>
      </c>
      <c r="B482" s="17" t="s">
        <v>475</v>
      </c>
    </row>
    <row r="483" spans="1:2" hidden="1" x14ac:dyDescent="0.3">
      <c r="A483" s="17" t="s">
        <v>476</v>
      </c>
      <c r="B483" s="17" t="s">
        <v>477</v>
      </c>
    </row>
    <row r="484" spans="1:2" hidden="1" x14ac:dyDescent="0.3">
      <c r="A484" s="17" t="s">
        <v>478</v>
      </c>
      <c r="B484" s="17" t="s">
        <v>479</v>
      </c>
    </row>
    <row r="485" spans="1:2" hidden="1" x14ac:dyDescent="0.3">
      <c r="A485" s="17" t="s">
        <v>480</v>
      </c>
      <c r="B485" s="17" t="s">
        <v>481</v>
      </c>
    </row>
    <row r="486" spans="1:2" hidden="1" x14ac:dyDescent="0.3">
      <c r="A486" s="17" t="s">
        <v>482</v>
      </c>
      <c r="B486" s="17" t="s">
        <v>483</v>
      </c>
    </row>
    <row r="487" spans="1:2" hidden="1" x14ac:dyDescent="0.3">
      <c r="A487" s="17" t="s">
        <v>484</v>
      </c>
      <c r="B487" s="17" t="s">
        <v>485</v>
      </c>
    </row>
    <row r="488" spans="1:2" hidden="1" x14ac:dyDescent="0.3">
      <c r="A488" s="17" t="s">
        <v>486</v>
      </c>
      <c r="B488" s="17" t="s">
        <v>487</v>
      </c>
    </row>
    <row r="489" spans="1:2" hidden="1" x14ac:dyDescent="0.3">
      <c r="A489" s="17" t="s">
        <v>488</v>
      </c>
      <c r="B489" s="17" t="s">
        <v>489</v>
      </c>
    </row>
    <row r="490" spans="1:2" hidden="1" x14ac:dyDescent="0.3">
      <c r="A490" s="17" t="s">
        <v>490</v>
      </c>
      <c r="B490" s="17" t="s">
        <v>491</v>
      </c>
    </row>
    <row r="491" spans="1:2" hidden="1" x14ac:dyDescent="0.3">
      <c r="A491" s="17" t="s">
        <v>492</v>
      </c>
      <c r="B491" s="17" t="s">
        <v>493</v>
      </c>
    </row>
    <row r="492" spans="1:2" hidden="1" x14ac:dyDescent="0.3">
      <c r="A492" s="17" t="s">
        <v>494</v>
      </c>
      <c r="B492" s="17" t="s">
        <v>495</v>
      </c>
    </row>
    <row r="493" spans="1:2" hidden="1" x14ac:dyDescent="0.3">
      <c r="A493" s="17" t="s">
        <v>496</v>
      </c>
      <c r="B493" s="17" t="s">
        <v>497</v>
      </c>
    </row>
    <row r="494" spans="1:2" hidden="1" x14ac:dyDescent="0.3">
      <c r="A494" s="17" t="s">
        <v>498</v>
      </c>
      <c r="B494" s="17" t="s">
        <v>499</v>
      </c>
    </row>
    <row r="495" spans="1:2" hidden="1" x14ac:dyDescent="0.3">
      <c r="A495" s="17" t="s">
        <v>500</v>
      </c>
      <c r="B495" s="17" t="s">
        <v>501</v>
      </c>
    </row>
    <row r="496" spans="1:2" hidden="1" x14ac:dyDescent="0.3">
      <c r="A496" s="17" t="s">
        <v>502</v>
      </c>
      <c r="B496" s="17" t="s">
        <v>503</v>
      </c>
    </row>
    <row r="497" spans="1:2" hidden="1" x14ac:dyDescent="0.3">
      <c r="A497" s="17" t="s">
        <v>504</v>
      </c>
      <c r="B497" s="17" t="s">
        <v>505</v>
      </c>
    </row>
    <row r="498" spans="1:2" hidden="1" x14ac:dyDescent="0.3">
      <c r="A498" s="17" t="s">
        <v>506</v>
      </c>
      <c r="B498" s="17" t="s">
        <v>507</v>
      </c>
    </row>
    <row r="499" spans="1:2" hidden="1" x14ac:dyDescent="0.3">
      <c r="A499" s="17" t="s">
        <v>508</v>
      </c>
      <c r="B499" s="17" t="s">
        <v>509</v>
      </c>
    </row>
    <row r="500" spans="1:2" hidden="1" x14ac:dyDescent="0.3">
      <c r="A500" s="17" t="s">
        <v>510</v>
      </c>
      <c r="B500" s="17" t="s">
        <v>511</v>
      </c>
    </row>
    <row r="501" spans="1:2" hidden="1" x14ac:dyDescent="0.3">
      <c r="A501" s="17" t="s">
        <v>512</v>
      </c>
      <c r="B501" s="17" t="s">
        <v>513</v>
      </c>
    </row>
    <row r="502" spans="1:2" hidden="1" x14ac:dyDescent="0.3">
      <c r="A502" s="17" t="s">
        <v>514</v>
      </c>
      <c r="B502" s="17" t="s">
        <v>515</v>
      </c>
    </row>
    <row r="503" spans="1:2" hidden="1" x14ac:dyDescent="0.3">
      <c r="A503" s="17" t="s">
        <v>516</v>
      </c>
      <c r="B503" s="17" t="s">
        <v>517</v>
      </c>
    </row>
    <row r="504" spans="1:2" hidden="1" x14ac:dyDescent="0.3">
      <c r="A504" s="17" t="s">
        <v>518</v>
      </c>
      <c r="B504" s="17" t="s">
        <v>519</v>
      </c>
    </row>
    <row r="505" spans="1:2" hidden="1" x14ac:dyDescent="0.3">
      <c r="A505" s="17" t="s">
        <v>520</v>
      </c>
      <c r="B505" s="17" t="s">
        <v>521</v>
      </c>
    </row>
    <row r="506" spans="1:2" hidden="1" x14ac:dyDescent="0.3">
      <c r="A506" s="17" t="s">
        <v>522</v>
      </c>
      <c r="B506" s="17" t="s">
        <v>523</v>
      </c>
    </row>
    <row r="507" spans="1:2" hidden="1" x14ac:dyDescent="0.3">
      <c r="A507" s="17" t="s">
        <v>524</v>
      </c>
      <c r="B507" s="17" t="s">
        <v>525</v>
      </c>
    </row>
    <row r="508" spans="1:2" hidden="1" x14ac:dyDescent="0.3">
      <c r="A508" s="17" t="s">
        <v>526</v>
      </c>
      <c r="B508" s="17" t="s">
        <v>527</v>
      </c>
    </row>
    <row r="509" spans="1:2" hidden="1" x14ac:dyDescent="0.3">
      <c r="A509" s="17" t="s">
        <v>528</v>
      </c>
      <c r="B509" s="17" t="s">
        <v>529</v>
      </c>
    </row>
    <row r="510" spans="1:2" hidden="1" x14ac:dyDescent="0.3">
      <c r="A510" s="17" t="s">
        <v>530</v>
      </c>
      <c r="B510" s="17" t="s">
        <v>531</v>
      </c>
    </row>
    <row r="511" spans="1:2" hidden="1" x14ac:dyDescent="0.3">
      <c r="A511" s="17" t="s">
        <v>532</v>
      </c>
      <c r="B511" s="17" t="s">
        <v>533</v>
      </c>
    </row>
    <row r="512" spans="1:2" hidden="1" x14ac:dyDescent="0.3">
      <c r="A512" s="17" t="s">
        <v>534</v>
      </c>
      <c r="B512" s="17" t="s">
        <v>535</v>
      </c>
    </row>
    <row r="513" spans="1:5" hidden="1" x14ac:dyDescent="0.3">
      <c r="A513" s="17" t="s">
        <v>536</v>
      </c>
      <c r="B513" s="17" t="s">
        <v>537</v>
      </c>
    </row>
    <row r="514" spans="1:5" hidden="1" x14ac:dyDescent="0.3">
      <c r="A514" s="17" t="s">
        <v>623</v>
      </c>
      <c r="B514" s="17" t="s">
        <v>631</v>
      </c>
    </row>
    <row r="515" spans="1:5" hidden="1" x14ac:dyDescent="0.3">
      <c r="A515" s="17" t="s">
        <v>624</v>
      </c>
      <c r="B515" s="17" t="s">
        <v>632</v>
      </c>
    </row>
    <row r="516" spans="1:5" hidden="1" x14ac:dyDescent="0.3">
      <c r="A516" s="17" t="s">
        <v>625</v>
      </c>
      <c r="B516" s="17" t="s">
        <v>633</v>
      </c>
    </row>
    <row r="517" spans="1:5" hidden="1" x14ac:dyDescent="0.3">
      <c r="A517" s="17" t="s">
        <v>626</v>
      </c>
      <c r="B517" s="17" t="s">
        <v>634</v>
      </c>
    </row>
    <row r="518" spans="1:5" hidden="1" x14ac:dyDescent="0.3">
      <c r="A518" s="17" t="s">
        <v>652</v>
      </c>
      <c r="B518" s="17"/>
    </row>
    <row r="519" spans="1:5" hidden="1" x14ac:dyDescent="0.3">
      <c r="A519" s="17" t="s">
        <v>653</v>
      </c>
      <c r="B519" s="17"/>
    </row>
    <row r="520" spans="1:5" s="60" customFormat="1" hidden="1" x14ac:dyDescent="0.3">
      <c r="A520" s="17" t="s">
        <v>654</v>
      </c>
      <c r="B520" s="17"/>
      <c r="C520" s="12"/>
      <c r="D520" s="6"/>
      <c r="E520" s="4"/>
    </row>
    <row r="521" spans="1:5" hidden="1" x14ac:dyDescent="0.3">
      <c r="A521" s="17" t="s">
        <v>655</v>
      </c>
      <c r="B521" s="17"/>
    </row>
    <row r="522" spans="1:5" hidden="1" x14ac:dyDescent="0.3">
      <c r="A522" s="17" t="s">
        <v>656</v>
      </c>
      <c r="B522" s="17"/>
    </row>
    <row r="523" spans="1:5" hidden="1" x14ac:dyDescent="0.3">
      <c r="A523" s="60"/>
      <c r="B523" s="60"/>
      <c r="C523" s="61"/>
      <c r="D523" s="62"/>
      <c r="E523" s="60"/>
    </row>
    <row r="524" spans="1:5" hidden="1" x14ac:dyDescent="0.3"/>
    <row r="525" spans="1:5" hidden="1" x14ac:dyDescent="0.3"/>
  </sheetData>
  <sheetProtection algorithmName="SHA-512" hashValue="5VQKaCo60CChj8ZQmZs1qeUNIRcLq6pXMTjM2aEm6yOTdAbj4I+qk+olUZm3T/lUlvZMHMTpeLtl8NdhhRwfqg==" saltValue="tYCtf1DMNS31zilHFbTsXQ==" spinCount="100000" sheet="1" objects="1" scenarios="1"/>
  <mergeCells count="2">
    <mergeCell ref="A39:E39"/>
    <mergeCell ref="A1:E1"/>
  </mergeCells>
  <phoneticPr fontId="18" type="noConversion"/>
  <conditionalFormatting sqref="D4">
    <cfRule type="containsBlanks" dxfId="17" priority="28">
      <formula>LEN(TRIM(D4))=0</formula>
    </cfRule>
  </conditionalFormatting>
  <conditionalFormatting sqref="D24">
    <cfRule type="expression" dxfId="16" priority="7">
      <formula>D24&lt;&gt;"No"</formula>
    </cfRule>
    <cfRule type="expression" dxfId="15" priority="8">
      <formula>D24="No"</formula>
    </cfRule>
  </conditionalFormatting>
  <conditionalFormatting sqref="D25">
    <cfRule type="expression" dxfId="14" priority="3">
      <formula>AND(D25&lt;&gt;"No tax code", OR(D25=$D$26, D25=$D$27, D25=$D$28))</formula>
    </cfRule>
  </conditionalFormatting>
  <conditionalFormatting sqref="D26">
    <cfRule type="expression" dxfId="13" priority="6">
      <formula>AND(D26&lt;&gt;"No tax code", OR(D26=$D$25, D26=$D$27, D26=$D$28))</formula>
    </cfRule>
  </conditionalFormatting>
  <conditionalFormatting sqref="D27">
    <cfRule type="expression" dxfId="12" priority="5">
      <formula>AND(D27&lt;&gt;"No tax code", OR(D27=$D$25, D27=$D$26, D27=$D$28))</formula>
    </cfRule>
  </conditionalFormatting>
  <conditionalFormatting sqref="D28:D29">
    <cfRule type="expression" dxfId="11" priority="4">
      <formula>AND(D28&lt;&gt;"No tax code", OR(D28=$D$25, D28=$D$26, D28=$D$27))</formula>
    </cfRule>
  </conditionalFormatting>
  <conditionalFormatting sqref="E3">
    <cfRule type="containsText" dxfId="10" priority="27" operator="containsText" text="must">
      <formula>NOT(ISERROR(SEARCH("must",E3)))</formula>
    </cfRule>
  </conditionalFormatting>
  <conditionalFormatting sqref="E4:E5">
    <cfRule type="containsText" dxfId="9" priority="26" operator="containsText" text="list">
      <formula>NOT(ISERROR(SEARCH("list",E4)))</formula>
    </cfRule>
  </conditionalFormatting>
  <conditionalFormatting sqref="E6">
    <cfRule type="containsText" dxfId="8" priority="24" operator="containsText" text="use">
      <formula>NOT(ISERROR(SEARCH("use",E6)))</formula>
    </cfRule>
  </conditionalFormatting>
  <conditionalFormatting sqref="E6:E10">
    <cfRule type="notContainsBlanks" dxfId="7" priority="22">
      <formula>LEN(TRIM(E6))&gt;0</formula>
    </cfRule>
  </conditionalFormatting>
  <conditionalFormatting sqref="E11:E12 E15 E36:E37">
    <cfRule type="containsText" dxfId="6" priority="18" operator="containsText" text="11">
      <formula>NOT(ISERROR(SEARCH("11",E11)))</formula>
    </cfRule>
  </conditionalFormatting>
  <conditionalFormatting sqref="E19:E20">
    <cfRule type="notContainsText" dxfId="5" priority="13" operator="notContains" text=".">
      <formula>ISERROR(SEARCH(".",E19))</formula>
    </cfRule>
  </conditionalFormatting>
  <conditionalFormatting sqref="E22">
    <cfRule type="containsText" dxfId="4" priority="12" operator="containsText" text="list">
      <formula>NOT(ISERROR(SEARCH("list",E22)))</formula>
    </cfRule>
  </conditionalFormatting>
  <conditionalFormatting sqref="E24">
    <cfRule type="expression" dxfId="3" priority="1">
      <formula>D24&lt;&gt;"No"</formula>
    </cfRule>
    <cfRule type="expression" dxfId="2" priority="2">
      <formula>D24="No"</formula>
    </cfRule>
  </conditionalFormatting>
  <conditionalFormatting sqref="E33">
    <cfRule type="containsText" dxfId="1" priority="11" operator="containsText" text="req">
      <formula>NOT(ISERROR(SEARCH("req",E33)))</formula>
    </cfRule>
  </conditionalFormatting>
  <conditionalFormatting sqref="E33:E34">
    <cfRule type="containsText" dxfId="0" priority="10" operator="containsText" text=".">
      <formula>NOT(ISERROR(SEARCH(".",E33)))</formula>
    </cfRule>
  </conditionalFormatting>
  <dataValidations count="13">
    <dataValidation type="list" showInputMessage="1" showErrorMessage="1" errorTitle="Purchase Item" error="Purchase Item is must" promptTitle="Purchase Item" prompt="Purchase Item" sqref="D22" xr:uid="{00000000-0002-0000-0000-000006000000}">
      <formula1>$A$140:$A$162</formula1>
    </dataValidation>
    <dataValidation type="list" showInputMessage="1" showErrorMessage="1" errorTitle="Region code" error="Region Code is must" promptTitle="Region code" prompt="Region Code is must" sqref="D14" xr:uid="{00000000-0002-0000-0000-000007000000}">
      <formula1>$A$166:$A$201</formula1>
    </dataValidation>
    <dataValidation type="list" showInputMessage="1" showErrorMessage="1" errorTitle="MSME code" error="MSME code must" promptTitle="MSME code" prompt="MSME code" sqref="E32" xr:uid="{00000000-0002-0000-0000-000003000000}">
      <formula1>$A$119:$A$125</formula1>
    </dataValidation>
    <dataValidation type="custom" allowBlank="1" showInputMessage="1" showErrorMessage="1" errorTitle="MSME Rules" error="- First two should be State Code (eg. UP)_x000a_- Total length must be 11_x000a_- Must not start with UDYAM_x000a_- Must not have hyphen '-' in it" promptTitle="MSME Rules" prompt="- First two should be State Code (eg. UP)_x000a_- Total length must be 11" sqref="D33" xr:uid="{3A7113BB-9F85-4215-BB06-D70A926CBD2A}">
      <formula1>AND(LEN(D33)=11, EXACT(LEFT(D33,2),UPPER(LEFT(D33,2))), ISNUMBER(VALUE(MID(D33,3,9))))</formula1>
    </dataValidation>
    <dataValidation type="list" showInputMessage="1" showErrorMessage="1" sqref="D24" xr:uid="{6C627A73-3718-4AC8-AB74-0B12A7ABB0C5}">
      <formula1>$A$101:$A$102</formula1>
    </dataValidation>
    <dataValidation type="list" showInputMessage="1" showErrorMessage="1" errorTitle="Payment terms" error="Payment terms is must" promptTitle="Payment terms" prompt="Payment terms" sqref="E23" xr:uid="{00000000-0002-0000-0000-000005000000}">
      <formula1>$A$129:$A$137</formula1>
    </dataValidation>
    <dataValidation type="list" showInputMessage="1" showErrorMessage="1" sqref="D27" xr:uid="{B28098DB-A028-4261-AFA6-63808E715F2F}">
      <formula1>IF(D24="No", A228:A245, A204:A228)</formula1>
    </dataValidation>
    <dataValidation type="list" showInputMessage="1" showErrorMessage="1" sqref="D26" xr:uid="{B2B143A2-E915-41F9-9D5A-255DAE9469F5}">
      <formula1>IF(D24="No", A228:A245, A204:A228)</formula1>
    </dataValidation>
    <dataValidation type="list" showInputMessage="1" showErrorMessage="1" sqref="D28" xr:uid="{DD832E72-4970-4934-B2EA-90CA443F2F84}">
      <formula1>IF(D24="No", A228:A245, A204:A228)</formula1>
    </dataValidation>
    <dataValidation type="list" showInputMessage="1" showErrorMessage="1" sqref="D25" xr:uid="{A3C7A819-71D3-4D76-BCAD-47EEA1FCB2F2}">
      <formula1>IF(D24="No", A228:A245, A204:A228)</formula1>
    </dataValidation>
    <dataValidation type="list" showInputMessage="1" showErrorMessage="1" sqref="D29" xr:uid="{447F2B41-7BAE-4855-A95F-D65C6AD4FA2F}">
      <formula1>IF(D24="No", A228:A245, A204:A228)</formula1>
    </dataValidation>
    <dataValidation type="list" errorStyle="warning" showInputMessage="1" showErrorMessage="1" prompt="Please select the Purch.Org. from the list" sqref="D5" xr:uid="{C9FB9828-3D69-4764-9F9D-19BFD7DDBECF}">
      <formula1>$A$249:$A$445</formula1>
    </dataValidation>
    <dataValidation type="list" errorStyle="warning" showInputMessage="1" showErrorMessage="1" prompt="Please select the Company code from the list" sqref="D4" xr:uid="{4A47BCBD-8252-4FC2-BAE9-41B5BA000C6D}">
      <formula1>$A$448:$A$522</formula1>
    </dataValidation>
  </dataValidations>
  <hyperlinks>
    <hyperlink ref="D17" r:id="rId1" xr:uid="{5B1F5191-5BEE-48FB-9C79-7EF04A50BA5E}"/>
  </hyperlinks>
  <pageMargins left="0.7" right="0.7" top="0.75" bottom="0.75" header="0.3" footer="0.3"/>
  <pageSetup orientation="portrait" horizontalDpi="4294967295" verticalDpi="4294967295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211A-7A08-44AD-A864-3E4E6B936446}">
  <dimension ref="A1:K445"/>
  <sheetViews>
    <sheetView zoomScale="82" zoomScaleNormal="83" workbookViewId="0">
      <selection activeCell="C2" sqref="C2:D2"/>
    </sheetView>
  </sheetViews>
  <sheetFormatPr defaultColWidth="9.109375" defaultRowHeight="14.4" x14ac:dyDescent="0.3"/>
  <cols>
    <col min="1" max="1" width="13.44140625" style="4" customWidth="1"/>
    <col min="2" max="2" width="52.5546875" style="4" customWidth="1"/>
    <col min="3" max="3" width="25.44140625" style="12" customWidth="1"/>
    <col min="4" max="4" width="30.33203125" style="6" customWidth="1"/>
    <col min="5" max="5" width="26.44140625" style="4" customWidth="1"/>
    <col min="6" max="6" width="19.6640625" style="4" customWidth="1"/>
    <col min="7" max="7" width="9.109375" style="4"/>
    <col min="8" max="8" width="31.109375" style="4" bestFit="1" customWidth="1"/>
    <col min="9" max="9" width="17.44140625" style="4" bestFit="1" customWidth="1"/>
    <col min="10" max="10" width="9.109375" style="4"/>
    <col min="11" max="11" width="9.6640625" style="4" bestFit="1" customWidth="1"/>
    <col min="12" max="16384" width="9.109375" style="4"/>
  </cols>
  <sheetData>
    <row r="1" spans="1:5" ht="15" thickBot="1" x14ac:dyDescent="0.35">
      <c r="A1" s="166" t="s">
        <v>718</v>
      </c>
      <c r="B1" s="167"/>
      <c r="C1" s="167"/>
      <c r="D1" s="168"/>
    </row>
    <row r="2" spans="1:5" ht="15" thickBot="1" x14ac:dyDescent="0.35">
      <c r="A2" s="1" t="s">
        <v>3</v>
      </c>
      <c r="B2" s="68" t="s">
        <v>0</v>
      </c>
      <c r="C2" s="160" t="s">
        <v>801</v>
      </c>
      <c r="D2" s="162"/>
      <c r="E2" s="65"/>
    </row>
    <row r="3" spans="1:5" ht="15" thickBot="1" x14ac:dyDescent="0.35">
      <c r="A3" s="69">
        <v>1</v>
      </c>
      <c r="B3" s="49" t="s">
        <v>640</v>
      </c>
      <c r="C3" s="55">
        <v>11002</v>
      </c>
      <c r="D3" s="67"/>
      <c r="E3" s="66"/>
    </row>
    <row r="4" spans="1:5" ht="35.4" customHeight="1" thickBot="1" x14ac:dyDescent="0.35">
      <c r="A4" s="70">
        <v>2</v>
      </c>
      <c r="B4" s="39" t="s">
        <v>548</v>
      </c>
      <c r="C4" s="71" t="s">
        <v>664</v>
      </c>
      <c r="D4" s="24"/>
    </row>
    <row r="5" spans="1:5" ht="29.4" thickBot="1" x14ac:dyDescent="0.35">
      <c r="A5" s="69">
        <v>3</v>
      </c>
      <c r="B5" s="53" t="s">
        <v>662</v>
      </c>
      <c r="C5" s="8" t="s">
        <v>408</v>
      </c>
      <c r="D5" s="24"/>
    </row>
    <row r="6" spans="1:5" ht="29.4" thickBot="1" x14ac:dyDescent="0.35">
      <c r="A6" s="70">
        <v>4</v>
      </c>
      <c r="B6" s="53" t="s">
        <v>663</v>
      </c>
      <c r="C6" s="54" t="s">
        <v>408</v>
      </c>
      <c r="D6" s="25"/>
    </row>
    <row r="7" spans="1:5" ht="15" thickBot="1" x14ac:dyDescent="0.35">
      <c r="A7" s="70">
        <v>5</v>
      </c>
      <c r="B7" s="30" t="s">
        <v>550</v>
      </c>
      <c r="C7" s="8" t="s">
        <v>7</v>
      </c>
      <c r="D7" s="24"/>
    </row>
    <row r="8" spans="1:5" ht="15" thickBot="1" x14ac:dyDescent="0.35">
      <c r="A8" s="69">
        <v>6</v>
      </c>
      <c r="B8" s="30" t="s">
        <v>549</v>
      </c>
      <c r="C8" s="54" t="s">
        <v>234</v>
      </c>
      <c r="D8" s="25"/>
    </row>
    <row r="53" spans="1:4" hidden="1" x14ac:dyDescent="0.3"/>
    <row r="54" spans="1:4" hidden="1" x14ac:dyDescent="0.3"/>
    <row r="55" spans="1:4" hidden="1" x14ac:dyDescent="0.3"/>
    <row r="56" spans="1:4" hidden="1" x14ac:dyDescent="0.3"/>
    <row r="57" spans="1:4" hidden="1" x14ac:dyDescent="0.3"/>
    <row r="58" spans="1:4" hidden="1" x14ac:dyDescent="0.3"/>
    <row r="59" spans="1:4" hidden="1" x14ac:dyDescent="0.3"/>
    <row r="60" spans="1:4" hidden="1" x14ac:dyDescent="0.3"/>
    <row r="61" spans="1:4" hidden="1" x14ac:dyDescent="0.3"/>
    <row r="62" spans="1:4" hidden="1" x14ac:dyDescent="0.3"/>
    <row r="63" spans="1:4" hidden="1" x14ac:dyDescent="0.3">
      <c r="A63" s="4" t="s">
        <v>54</v>
      </c>
      <c r="B63" s="4" t="s">
        <v>55</v>
      </c>
    </row>
    <row r="64" spans="1:4" ht="15.6" hidden="1" x14ac:dyDescent="0.3">
      <c r="A64" s="13">
        <v>10000</v>
      </c>
      <c r="B64" s="26">
        <v>106000</v>
      </c>
      <c r="C64" s="13" t="s">
        <v>555</v>
      </c>
      <c r="D64" s="4"/>
    </row>
    <row r="65" spans="1:11" ht="15.6" hidden="1" x14ac:dyDescent="0.3">
      <c r="A65" s="14">
        <v>20000</v>
      </c>
      <c r="B65" s="27">
        <v>106200</v>
      </c>
      <c r="C65" s="14" t="s">
        <v>556</v>
      </c>
      <c r="D65" s="4"/>
    </row>
    <row r="66" spans="1:11" ht="15.6" hidden="1" x14ac:dyDescent="0.3">
      <c r="A66" s="14">
        <v>40000</v>
      </c>
      <c r="B66" s="27">
        <v>106100</v>
      </c>
      <c r="C66" s="14" t="s">
        <v>557</v>
      </c>
      <c r="D66" s="4"/>
    </row>
    <row r="67" spans="1:11" ht="15.6" hidden="1" x14ac:dyDescent="0.3">
      <c r="A67" s="14">
        <v>60000</v>
      </c>
      <c r="B67" s="27">
        <v>106300</v>
      </c>
      <c r="C67" s="14" t="s">
        <v>558</v>
      </c>
      <c r="D67" s="4"/>
    </row>
    <row r="68" spans="1:11" ht="15.6" hidden="1" x14ac:dyDescent="0.3">
      <c r="A68" s="14">
        <v>70000</v>
      </c>
      <c r="B68" s="27">
        <v>106400</v>
      </c>
      <c r="C68" s="14" t="s">
        <v>559</v>
      </c>
      <c r="D68" s="4"/>
    </row>
    <row r="69" spans="1:11" ht="15.6" hidden="1" x14ac:dyDescent="0.3">
      <c r="A69" s="14">
        <v>100000</v>
      </c>
      <c r="B69" s="27">
        <v>106500</v>
      </c>
      <c r="C69" s="14" t="s">
        <v>560</v>
      </c>
      <c r="D69" s="4"/>
    </row>
    <row r="70" spans="1:11" ht="15.6" hidden="1" x14ac:dyDescent="0.3">
      <c r="A70" s="14">
        <v>120000</v>
      </c>
      <c r="B70" s="27">
        <v>106400</v>
      </c>
      <c r="C70" s="14" t="s">
        <v>561</v>
      </c>
      <c r="D70" s="4"/>
    </row>
    <row r="71" spans="1:11" ht="15.6" hidden="1" x14ac:dyDescent="0.3">
      <c r="A71" s="15">
        <v>130000</v>
      </c>
      <c r="B71" s="15">
        <v>106600</v>
      </c>
      <c r="C71" s="14" t="s">
        <v>562</v>
      </c>
      <c r="D71" s="4"/>
    </row>
    <row r="72" spans="1:11" ht="15.6" hidden="1" x14ac:dyDescent="0.3">
      <c r="A72" s="14">
        <v>140000</v>
      </c>
      <c r="B72" s="27">
        <v>106900</v>
      </c>
      <c r="C72" s="14" t="s">
        <v>563</v>
      </c>
      <c r="D72" s="4"/>
    </row>
    <row r="73" spans="1:11" ht="15.6" hidden="1" x14ac:dyDescent="0.3">
      <c r="A73" s="14">
        <v>150000</v>
      </c>
      <c r="B73" s="27">
        <v>107000</v>
      </c>
      <c r="C73" s="14" t="s">
        <v>564</v>
      </c>
      <c r="D73" s="4"/>
    </row>
    <row r="74" spans="1:11" ht="15.6" hidden="1" x14ac:dyDescent="0.3">
      <c r="A74" s="14">
        <v>160000</v>
      </c>
      <c r="B74" s="27">
        <v>108000</v>
      </c>
      <c r="C74" s="14" t="s">
        <v>584</v>
      </c>
      <c r="D74" s="4"/>
    </row>
    <row r="75" spans="1:11" hidden="1" x14ac:dyDescent="0.3">
      <c r="C75" s="4"/>
    </row>
    <row r="76" spans="1:11" s="6" customFormat="1" hidden="1" x14ac:dyDescent="0.3">
      <c r="A76" s="16" t="s">
        <v>56</v>
      </c>
      <c r="B76" s="16" t="s">
        <v>57</v>
      </c>
      <c r="C76" s="4"/>
      <c r="E76" s="4"/>
      <c r="F76" s="4"/>
      <c r="G76" s="4"/>
      <c r="H76" s="4"/>
      <c r="I76" s="4"/>
      <c r="J76" s="4"/>
      <c r="K76" s="4"/>
    </row>
    <row r="77" spans="1:11" s="6" customFormat="1" hidden="1" x14ac:dyDescent="0.3">
      <c r="A77" s="17" t="s">
        <v>541</v>
      </c>
      <c r="B77" s="17" t="s">
        <v>58</v>
      </c>
      <c r="C77" s="17"/>
      <c r="E77" s="4"/>
      <c r="F77" s="4"/>
      <c r="G77" s="4"/>
      <c r="H77" s="4"/>
      <c r="I77" s="4"/>
      <c r="J77" s="4"/>
      <c r="K77" s="4"/>
    </row>
    <row r="78" spans="1:11" s="6" customFormat="1" hidden="1" x14ac:dyDescent="0.3">
      <c r="A78" s="17" t="s">
        <v>542</v>
      </c>
      <c r="B78" s="17" t="s">
        <v>42</v>
      </c>
      <c r="C78" s="17"/>
      <c r="E78" s="4"/>
      <c r="F78" s="4"/>
      <c r="G78" s="4"/>
      <c r="H78" s="4"/>
      <c r="I78" s="4"/>
      <c r="J78" s="4"/>
      <c r="K78" s="4"/>
    </row>
    <row r="79" spans="1:11" s="6" customFormat="1" hidden="1" x14ac:dyDescent="0.3">
      <c r="A79" s="17" t="s">
        <v>543</v>
      </c>
      <c r="B79" s="17" t="s">
        <v>59</v>
      </c>
      <c r="C79" s="17"/>
      <c r="E79" s="4"/>
      <c r="F79" s="4"/>
      <c r="G79" s="4"/>
      <c r="H79" s="4"/>
      <c r="I79" s="4"/>
      <c r="J79" s="4"/>
      <c r="K79" s="4"/>
    </row>
    <row r="80" spans="1:11" s="6" customFormat="1" hidden="1" x14ac:dyDescent="0.3">
      <c r="A80" s="17" t="s">
        <v>639</v>
      </c>
      <c r="B80" s="17" t="s">
        <v>46</v>
      </c>
      <c r="C80" s="17"/>
      <c r="E80" s="4"/>
      <c r="F80" s="4"/>
      <c r="G80" s="4"/>
      <c r="H80" s="4"/>
      <c r="I80" s="4"/>
      <c r="J80" s="4"/>
      <c r="K80" s="4"/>
    </row>
    <row r="81" spans="1:11" s="6" customFormat="1" hidden="1" x14ac:dyDescent="0.3">
      <c r="A81" s="17"/>
      <c r="B81" s="17"/>
      <c r="C81" s="12"/>
      <c r="E81" s="4"/>
      <c r="F81" s="4"/>
      <c r="G81" s="4"/>
      <c r="H81" s="4"/>
      <c r="I81" s="4"/>
      <c r="J81" s="4"/>
      <c r="K81" s="4"/>
    </row>
    <row r="82" spans="1:11" s="6" customFormat="1" hidden="1" x14ac:dyDescent="0.3">
      <c r="A82" s="17"/>
      <c r="B82" s="17"/>
      <c r="C82" s="12"/>
      <c r="E82" s="4"/>
      <c r="F82" s="4"/>
      <c r="G82" s="4"/>
      <c r="H82" s="4"/>
      <c r="I82" s="4"/>
      <c r="J82" s="4"/>
      <c r="K82" s="4"/>
    </row>
    <row r="83" spans="1:11" s="6" customFormat="1" hidden="1" x14ac:dyDescent="0.3">
      <c r="A83" s="16" t="s">
        <v>60</v>
      </c>
      <c r="B83" s="16" t="s">
        <v>61</v>
      </c>
      <c r="C83" s="12"/>
      <c r="E83" s="4"/>
      <c r="F83" s="4"/>
      <c r="G83" s="4"/>
      <c r="H83" s="4"/>
      <c r="I83" s="4"/>
      <c r="J83" s="4"/>
      <c r="K83" s="4"/>
    </row>
    <row r="84" spans="1:11" s="6" customFormat="1" hidden="1" x14ac:dyDescent="0.3">
      <c r="A84" s="19" t="s">
        <v>63</v>
      </c>
      <c r="B84" s="18" t="s">
        <v>62</v>
      </c>
      <c r="C84" s="18"/>
      <c r="E84" s="4"/>
      <c r="F84" s="4"/>
      <c r="G84" s="4"/>
      <c r="H84" s="4"/>
      <c r="I84" s="4"/>
      <c r="J84" s="4"/>
      <c r="K84" s="4"/>
    </row>
    <row r="85" spans="1:11" s="6" customFormat="1" hidden="1" x14ac:dyDescent="0.3">
      <c r="A85" s="19" t="s">
        <v>65</v>
      </c>
      <c r="B85" s="18" t="s">
        <v>64</v>
      </c>
      <c r="C85" s="18"/>
      <c r="E85" s="4"/>
      <c r="F85" s="4"/>
      <c r="G85" s="4"/>
      <c r="H85" s="4"/>
      <c r="I85" s="4"/>
      <c r="J85" s="4"/>
      <c r="K85" s="4"/>
    </row>
    <row r="86" spans="1:11" s="6" customFormat="1" hidden="1" x14ac:dyDescent="0.3">
      <c r="A86" s="19" t="s">
        <v>66</v>
      </c>
      <c r="B86" s="18" t="s">
        <v>38</v>
      </c>
      <c r="C86" s="18"/>
      <c r="E86" s="4"/>
      <c r="F86" s="4"/>
      <c r="G86" s="4"/>
      <c r="H86" s="4"/>
      <c r="I86" s="4"/>
      <c r="J86" s="4"/>
      <c r="K86" s="4"/>
    </row>
    <row r="87" spans="1:11" s="6" customFormat="1" hidden="1" x14ac:dyDescent="0.3">
      <c r="A87" s="19" t="s">
        <v>68</v>
      </c>
      <c r="B87" s="18" t="s">
        <v>67</v>
      </c>
      <c r="C87" s="18"/>
      <c r="E87" s="4"/>
      <c r="F87" s="4"/>
      <c r="G87" s="4"/>
      <c r="H87" s="4"/>
      <c r="I87" s="4"/>
      <c r="J87" s="4"/>
      <c r="K87" s="4"/>
    </row>
    <row r="88" spans="1:11" s="6" customFormat="1" hidden="1" x14ac:dyDescent="0.3">
      <c r="A88" s="19" t="s">
        <v>70</v>
      </c>
      <c r="B88" s="18" t="s">
        <v>69</v>
      </c>
      <c r="C88" s="18"/>
      <c r="E88" s="4"/>
      <c r="F88" s="4"/>
      <c r="G88" s="4"/>
      <c r="H88" s="4"/>
      <c r="I88" s="4"/>
      <c r="J88" s="4"/>
      <c r="K88" s="4"/>
    </row>
    <row r="89" spans="1:11" s="6" customFormat="1" hidden="1" x14ac:dyDescent="0.3">
      <c r="A89" s="19" t="s">
        <v>72</v>
      </c>
      <c r="B89" s="18" t="s">
        <v>71</v>
      </c>
      <c r="C89" s="18"/>
      <c r="E89" s="4"/>
      <c r="F89" s="4"/>
      <c r="G89" s="4"/>
      <c r="H89" s="4"/>
      <c r="I89" s="4"/>
      <c r="J89" s="4"/>
      <c r="K89" s="4"/>
    </row>
    <row r="90" spans="1:11" s="6" customFormat="1" hidden="1" x14ac:dyDescent="0.3">
      <c r="A90" s="19" t="s">
        <v>73</v>
      </c>
      <c r="B90" s="18" t="s">
        <v>45</v>
      </c>
      <c r="C90" s="18"/>
      <c r="E90" s="4"/>
      <c r="F90" s="4"/>
      <c r="G90" s="4"/>
      <c r="H90" s="4"/>
      <c r="I90" s="4"/>
      <c r="J90" s="4"/>
      <c r="K90" s="4"/>
    </row>
    <row r="91" spans="1:11" s="6" customFormat="1" hidden="1" x14ac:dyDescent="0.3">
      <c r="A91" s="19" t="s">
        <v>75</v>
      </c>
      <c r="B91" s="18" t="s">
        <v>74</v>
      </c>
      <c r="C91" s="18"/>
      <c r="E91" s="4"/>
      <c r="F91" s="4"/>
      <c r="G91" s="4"/>
      <c r="H91" s="4"/>
      <c r="I91" s="4"/>
      <c r="J91" s="4"/>
      <c r="K91" s="4"/>
    </row>
    <row r="92" spans="1:11" s="12" customFormat="1" hidden="1" x14ac:dyDescent="0.3">
      <c r="A92" s="17"/>
      <c r="B92" s="17"/>
      <c r="D92" s="6"/>
      <c r="E92" s="4"/>
      <c r="F92" s="4"/>
      <c r="G92" s="4"/>
      <c r="H92" s="4"/>
      <c r="I92" s="4"/>
      <c r="J92" s="4"/>
      <c r="K92" s="4"/>
    </row>
    <row r="93" spans="1:11" s="12" customFormat="1" hidden="1" x14ac:dyDescent="0.3">
      <c r="A93" s="16" t="s">
        <v>76</v>
      </c>
      <c r="B93" s="16" t="s">
        <v>77</v>
      </c>
      <c r="D93" s="6"/>
      <c r="E93" s="4"/>
      <c r="F93" s="4"/>
      <c r="G93" s="4"/>
      <c r="H93" s="4"/>
      <c r="I93" s="4"/>
      <c r="J93" s="4"/>
      <c r="K93" s="4"/>
    </row>
    <row r="94" spans="1:11" s="12" customFormat="1" hidden="1" x14ac:dyDescent="0.3">
      <c r="A94" s="19" t="s">
        <v>78</v>
      </c>
      <c r="B94" s="19" t="s">
        <v>79</v>
      </c>
      <c r="D94" s="6"/>
      <c r="E94" s="4"/>
      <c r="F94" s="4"/>
      <c r="G94" s="4"/>
      <c r="H94" s="4"/>
      <c r="I94" s="4"/>
      <c r="J94" s="4"/>
      <c r="K94" s="4"/>
    </row>
    <row r="95" spans="1:11" s="12" customFormat="1" hidden="1" x14ac:dyDescent="0.3">
      <c r="A95" s="19" t="s">
        <v>80</v>
      </c>
      <c r="B95" s="19" t="s">
        <v>81</v>
      </c>
      <c r="D95" s="6"/>
      <c r="E95" s="4"/>
      <c r="F95" s="4"/>
      <c r="G95" s="4"/>
      <c r="H95" s="4"/>
      <c r="I95" s="4"/>
      <c r="J95" s="4"/>
      <c r="K95" s="4"/>
    </row>
    <row r="96" spans="1:11" s="12" customFormat="1" hidden="1" x14ac:dyDescent="0.3">
      <c r="A96" s="19" t="s">
        <v>82</v>
      </c>
      <c r="B96" s="19" t="s">
        <v>83</v>
      </c>
      <c r="D96" s="6"/>
      <c r="E96" s="4"/>
      <c r="F96" s="4"/>
      <c r="G96" s="4"/>
      <c r="H96" s="4"/>
      <c r="I96" s="4"/>
      <c r="J96" s="4"/>
      <c r="K96" s="4"/>
    </row>
    <row r="97" spans="1:11" s="12" customFormat="1" hidden="1" x14ac:dyDescent="0.3">
      <c r="A97" s="19" t="s">
        <v>84</v>
      </c>
      <c r="B97" s="19" t="s">
        <v>85</v>
      </c>
      <c r="D97" s="6"/>
      <c r="E97" s="4"/>
      <c r="F97" s="4"/>
      <c r="G97" s="4"/>
      <c r="H97" s="4"/>
      <c r="I97" s="4"/>
      <c r="J97" s="4"/>
      <c r="K97" s="4"/>
    </row>
    <row r="98" spans="1:11" s="12" customFormat="1" hidden="1" x14ac:dyDescent="0.3">
      <c r="A98" s="19" t="s">
        <v>86</v>
      </c>
      <c r="B98" s="19" t="s">
        <v>87</v>
      </c>
      <c r="D98" s="6"/>
      <c r="E98" s="4"/>
      <c r="F98" s="4"/>
      <c r="G98" s="4"/>
      <c r="H98" s="4"/>
      <c r="I98" s="4"/>
      <c r="J98" s="4"/>
      <c r="K98" s="4"/>
    </row>
    <row r="99" spans="1:11" s="12" customFormat="1" hidden="1" x14ac:dyDescent="0.3">
      <c r="A99" s="19" t="s">
        <v>88</v>
      </c>
      <c r="B99" s="19" t="s">
        <v>89</v>
      </c>
      <c r="D99" s="6"/>
      <c r="E99" s="4"/>
      <c r="F99" s="4"/>
      <c r="G99" s="4"/>
      <c r="H99" s="4"/>
      <c r="I99" s="4"/>
      <c r="J99" s="4"/>
      <c r="K99" s="4"/>
    </row>
    <row r="100" spans="1:11" s="12" customFormat="1" hidden="1" x14ac:dyDescent="0.3">
      <c r="A100" s="19" t="s">
        <v>90</v>
      </c>
      <c r="B100" s="19" t="s">
        <v>91</v>
      </c>
      <c r="D100" s="6"/>
      <c r="E100" s="4"/>
      <c r="F100" s="4"/>
      <c r="G100" s="4"/>
      <c r="H100" s="4"/>
      <c r="I100" s="4"/>
      <c r="J100" s="4"/>
      <c r="K100" s="4"/>
    </row>
    <row r="101" spans="1:11" s="12" customFormat="1" hidden="1" x14ac:dyDescent="0.3">
      <c r="A101" s="19" t="s">
        <v>92</v>
      </c>
      <c r="B101" s="19" t="s">
        <v>93</v>
      </c>
      <c r="D101" s="6"/>
      <c r="E101" s="4"/>
      <c r="F101" s="4"/>
      <c r="G101" s="4"/>
      <c r="H101" s="4"/>
      <c r="I101" s="4"/>
      <c r="J101" s="4"/>
      <c r="K101" s="4"/>
    </row>
    <row r="102" spans="1:11" s="12" customFormat="1" hidden="1" x14ac:dyDescent="0.3">
      <c r="A102" s="19" t="s">
        <v>94</v>
      </c>
      <c r="B102" s="19" t="s">
        <v>95</v>
      </c>
      <c r="D102" s="6"/>
      <c r="E102" s="4"/>
      <c r="F102" s="4"/>
      <c r="G102" s="4"/>
      <c r="H102" s="4"/>
      <c r="I102" s="4"/>
      <c r="J102" s="4"/>
      <c r="K102" s="4"/>
    </row>
    <row r="103" spans="1:11" s="12" customFormat="1" hidden="1" x14ac:dyDescent="0.3">
      <c r="A103" s="19" t="s">
        <v>96</v>
      </c>
      <c r="B103" s="19" t="s">
        <v>97</v>
      </c>
      <c r="D103" s="6"/>
      <c r="E103" s="4"/>
      <c r="F103" s="4"/>
      <c r="G103" s="4"/>
      <c r="H103" s="4"/>
      <c r="I103" s="4"/>
      <c r="J103" s="4"/>
      <c r="K103" s="4"/>
    </row>
    <row r="104" spans="1:11" s="12" customFormat="1" hidden="1" x14ac:dyDescent="0.3">
      <c r="A104" s="19" t="s">
        <v>98</v>
      </c>
      <c r="B104" s="19" t="s">
        <v>586</v>
      </c>
      <c r="D104" s="6"/>
      <c r="E104" s="4"/>
      <c r="F104" s="4"/>
      <c r="G104" s="4"/>
      <c r="H104" s="4"/>
      <c r="I104" s="4"/>
      <c r="J104" s="4"/>
      <c r="K104" s="4"/>
    </row>
    <row r="105" spans="1:11" s="12" customFormat="1" hidden="1" x14ac:dyDescent="0.3">
      <c r="A105" s="19" t="s">
        <v>99</v>
      </c>
      <c r="B105" s="19" t="s">
        <v>100</v>
      </c>
      <c r="D105" s="6"/>
      <c r="E105" s="4"/>
      <c r="F105" s="4"/>
      <c r="G105" s="4"/>
      <c r="H105" s="4"/>
      <c r="I105" s="4"/>
      <c r="J105" s="4"/>
      <c r="K105" s="4"/>
    </row>
    <row r="106" spans="1:11" s="12" customFormat="1" hidden="1" x14ac:dyDescent="0.3">
      <c r="A106" s="19" t="s">
        <v>101</v>
      </c>
      <c r="B106" s="19" t="s">
        <v>102</v>
      </c>
      <c r="D106" s="6"/>
      <c r="E106" s="4"/>
      <c r="F106" s="4"/>
      <c r="G106" s="4"/>
      <c r="H106" s="4"/>
      <c r="I106" s="4"/>
      <c r="J106" s="4"/>
      <c r="K106" s="4"/>
    </row>
    <row r="107" spans="1:11" s="12" customFormat="1" hidden="1" x14ac:dyDescent="0.3">
      <c r="A107" s="19" t="s">
        <v>36</v>
      </c>
      <c r="B107" s="19" t="s">
        <v>103</v>
      </c>
      <c r="D107" s="6"/>
      <c r="E107" s="4"/>
      <c r="F107" s="4"/>
      <c r="G107" s="4"/>
      <c r="H107" s="4"/>
      <c r="I107" s="4"/>
      <c r="J107" s="4"/>
      <c r="K107" s="4"/>
    </row>
    <row r="108" spans="1:11" hidden="1" x14ac:dyDescent="0.3">
      <c r="A108" s="19" t="s">
        <v>104</v>
      </c>
      <c r="B108" s="19" t="s">
        <v>105</v>
      </c>
    </row>
    <row r="109" spans="1:11" hidden="1" x14ac:dyDescent="0.3">
      <c r="A109" s="19" t="s">
        <v>106</v>
      </c>
      <c r="B109" s="19" t="s">
        <v>107</v>
      </c>
    </row>
    <row r="110" spans="1:11" hidden="1" x14ac:dyDescent="0.3">
      <c r="A110" s="19" t="s">
        <v>108</v>
      </c>
      <c r="B110" s="19" t="s">
        <v>109</v>
      </c>
    </row>
    <row r="111" spans="1:11" hidden="1" x14ac:dyDescent="0.3">
      <c r="A111" s="20" t="s">
        <v>110</v>
      </c>
      <c r="B111" s="20" t="s">
        <v>111</v>
      </c>
    </row>
    <row r="112" spans="1:11" hidden="1" x14ac:dyDescent="0.3">
      <c r="A112" s="20" t="s">
        <v>585</v>
      </c>
      <c r="B112" s="20" t="s">
        <v>585</v>
      </c>
    </row>
    <row r="113" spans="1:9" hidden="1" x14ac:dyDescent="0.3">
      <c r="A113" s="20" t="s">
        <v>112</v>
      </c>
      <c r="B113" s="20" t="s">
        <v>113</v>
      </c>
    </row>
    <row r="114" spans="1:9" hidden="1" x14ac:dyDescent="0.3">
      <c r="A114" s="17"/>
      <c r="B114" s="17"/>
      <c r="E114"/>
      <c r="F114"/>
      <c r="G114"/>
      <c r="H114"/>
      <c r="I114"/>
    </row>
    <row r="115" spans="1:9" hidden="1" x14ac:dyDescent="0.3">
      <c r="A115" s="17"/>
      <c r="B115" s="17"/>
      <c r="E115"/>
      <c r="F115"/>
      <c r="G115"/>
      <c r="H115"/>
      <c r="I115"/>
    </row>
    <row r="116" spans="1:9" hidden="1" x14ac:dyDescent="0.3">
      <c r="A116" s="16" t="s">
        <v>114</v>
      </c>
      <c r="B116" s="16" t="s">
        <v>115</v>
      </c>
      <c r="E116"/>
      <c r="F116"/>
      <c r="G116"/>
      <c r="H116"/>
      <c r="I116"/>
    </row>
    <row r="117" spans="1:9" hidden="1" x14ac:dyDescent="0.3">
      <c r="A117" s="19" t="s">
        <v>116</v>
      </c>
      <c r="B117" s="19" t="s">
        <v>117</v>
      </c>
      <c r="C117" s="19">
        <v>35</v>
      </c>
      <c r="E117"/>
      <c r="F117"/>
      <c r="G117"/>
      <c r="H117"/>
      <c r="I117"/>
    </row>
    <row r="118" spans="1:9" hidden="1" x14ac:dyDescent="0.3">
      <c r="A118" s="19" t="s">
        <v>24</v>
      </c>
      <c r="B118" s="19" t="s">
        <v>118</v>
      </c>
      <c r="C118" s="19">
        <v>37</v>
      </c>
      <c r="E118"/>
      <c r="F118"/>
      <c r="G118"/>
      <c r="H118"/>
      <c r="I118"/>
    </row>
    <row r="119" spans="1:9" hidden="1" x14ac:dyDescent="0.3">
      <c r="A119" s="19" t="s">
        <v>119</v>
      </c>
      <c r="B119" s="19" t="s">
        <v>120</v>
      </c>
      <c r="C119" s="19">
        <v>12</v>
      </c>
      <c r="E119"/>
      <c r="F119"/>
      <c r="G119"/>
      <c r="H119"/>
      <c r="I119"/>
    </row>
    <row r="120" spans="1:9" hidden="1" x14ac:dyDescent="0.3">
      <c r="A120" s="19" t="s">
        <v>121</v>
      </c>
      <c r="B120" s="19" t="s">
        <v>122</v>
      </c>
      <c r="C120" s="19">
        <v>18</v>
      </c>
      <c r="E120"/>
      <c r="F120"/>
      <c r="G120"/>
      <c r="H120"/>
      <c r="I120"/>
    </row>
    <row r="121" spans="1:9" hidden="1" x14ac:dyDescent="0.3">
      <c r="A121" s="19" t="s">
        <v>123</v>
      </c>
      <c r="B121" s="19" t="s">
        <v>124</v>
      </c>
      <c r="C121" s="19">
        <v>10</v>
      </c>
      <c r="E121"/>
      <c r="F121"/>
      <c r="G121"/>
      <c r="H121"/>
      <c r="I121"/>
    </row>
    <row r="122" spans="1:9" hidden="1" x14ac:dyDescent="0.3">
      <c r="A122" s="19" t="s">
        <v>125</v>
      </c>
      <c r="B122" s="19" t="s">
        <v>126</v>
      </c>
      <c r="C122" s="19" t="s">
        <v>589</v>
      </c>
      <c r="E122"/>
      <c r="F122"/>
      <c r="G122"/>
      <c r="H122"/>
      <c r="I122"/>
    </row>
    <row r="123" spans="1:9" hidden="1" x14ac:dyDescent="0.3">
      <c r="A123" s="19" t="s">
        <v>127</v>
      </c>
      <c r="B123" s="19" t="s">
        <v>128</v>
      </c>
      <c r="C123" s="19">
        <v>22</v>
      </c>
      <c r="E123"/>
      <c r="F123"/>
      <c r="G123"/>
      <c r="H123"/>
      <c r="I123"/>
    </row>
    <row r="124" spans="1:9" hidden="1" x14ac:dyDescent="0.3">
      <c r="A124" s="19" t="s">
        <v>129</v>
      </c>
      <c r="B124" s="19" t="s">
        <v>130</v>
      </c>
      <c r="C124" s="19">
        <v>26</v>
      </c>
      <c r="E124"/>
      <c r="F124"/>
      <c r="G124"/>
      <c r="H124"/>
      <c r="I124"/>
    </row>
    <row r="125" spans="1:9" hidden="1" x14ac:dyDescent="0.3">
      <c r="A125" s="19" t="s">
        <v>131</v>
      </c>
      <c r="B125" s="19" t="s">
        <v>132</v>
      </c>
      <c r="C125" s="19">
        <v>25</v>
      </c>
      <c r="E125"/>
      <c r="F125"/>
      <c r="G125"/>
      <c r="H125"/>
      <c r="I125"/>
    </row>
    <row r="126" spans="1:9" hidden="1" x14ac:dyDescent="0.3">
      <c r="A126" s="19" t="s">
        <v>23</v>
      </c>
      <c r="B126" s="19" t="s">
        <v>133</v>
      </c>
      <c r="C126" s="19" t="s">
        <v>592</v>
      </c>
      <c r="E126"/>
      <c r="F126"/>
      <c r="G126"/>
      <c r="H126"/>
      <c r="I126"/>
    </row>
    <row r="127" spans="1:9" hidden="1" x14ac:dyDescent="0.3">
      <c r="A127" s="19" t="s">
        <v>134</v>
      </c>
      <c r="B127" s="19" t="s">
        <v>135</v>
      </c>
      <c r="C127" s="19" t="e">
        <v>#N/A</v>
      </c>
      <c r="E127"/>
      <c r="F127"/>
      <c r="G127"/>
      <c r="H127"/>
      <c r="I127"/>
    </row>
    <row r="128" spans="1:9" hidden="1" x14ac:dyDescent="0.3">
      <c r="A128" s="19" t="s">
        <v>136</v>
      </c>
      <c r="B128" s="19" t="s">
        <v>137</v>
      </c>
      <c r="C128" s="19">
        <v>30</v>
      </c>
      <c r="E128"/>
      <c r="F128"/>
      <c r="G128"/>
      <c r="H128"/>
      <c r="I128"/>
    </row>
    <row r="129" spans="1:9" hidden="1" x14ac:dyDescent="0.3">
      <c r="A129" s="19" t="s">
        <v>138</v>
      </c>
      <c r="B129" s="19" t="s">
        <v>139</v>
      </c>
      <c r="C129" s="19">
        <v>24</v>
      </c>
      <c r="E129"/>
      <c r="F129"/>
      <c r="G129"/>
      <c r="H129"/>
      <c r="I129"/>
    </row>
    <row r="130" spans="1:9" hidden="1" x14ac:dyDescent="0.3">
      <c r="A130" s="19" t="s">
        <v>140</v>
      </c>
      <c r="B130" s="19" t="s">
        <v>141</v>
      </c>
      <c r="C130" s="19" t="s">
        <v>591</v>
      </c>
      <c r="E130"/>
      <c r="F130"/>
      <c r="G130"/>
      <c r="H130"/>
      <c r="I130"/>
    </row>
    <row r="131" spans="1:9" hidden="1" x14ac:dyDescent="0.3">
      <c r="A131" s="19" t="s">
        <v>142</v>
      </c>
      <c r="B131" s="19" t="s">
        <v>143</v>
      </c>
      <c r="C131" s="19" t="s">
        <v>587</v>
      </c>
      <c r="E131"/>
      <c r="F131"/>
      <c r="G131"/>
      <c r="H131"/>
      <c r="I131"/>
    </row>
    <row r="132" spans="1:9" hidden="1" x14ac:dyDescent="0.3">
      <c r="A132" s="19" t="s">
        <v>144</v>
      </c>
      <c r="B132" s="19" t="s">
        <v>145</v>
      </c>
      <c r="C132" s="19" t="s">
        <v>635</v>
      </c>
      <c r="E132"/>
      <c r="F132"/>
      <c r="G132"/>
      <c r="H132"/>
      <c r="I132"/>
    </row>
    <row r="133" spans="1:9" hidden="1" x14ac:dyDescent="0.3">
      <c r="A133" s="19" t="s">
        <v>146</v>
      </c>
      <c r="B133" s="19" t="s">
        <v>147</v>
      </c>
      <c r="C133" s="19">
        <v>20</v>
      </c>
      <c r="E133"/>
      <c r="F133"/>
      <c r="G133"/>
      <c r="H133"/>
      <c r="I133"/>
    </row>
    <row r="134" spans="1:9" hidden="1" x14ac:dyDescent="0.3">
      <c r="A134" s="19" t="s">
        <v>148</v>
      </c>
      <c r="B134" s="19" t="s">
        <v>149</v>
      </c>
      <c r="C134" s="19">
        <v>29</v>
      </c>
      <c r="E134"/>
      <c r="F134"/>
      <c r="G134"/>
      <c r="H134"/>
      <c r="I134"/>
    </row>
    <row r="135" spans="1:9" hidden="1" x14ac:dyDescent="0.3">
      <c r="A135" s="19" t="s">
        <v>150</v>
      </c>
      <c r="B135" s="19" t="s">
        <v>151</v>
      </c>
      <c r="C135" s="19">
        <v>32</v>
      </c>
      <c r="E135"/>
      <c r="F135"/>
      <c r="G135"/>
      <c r="H135"/>
      <c r="I135"/>
    </row>
    <row r="136" spans="1:9" hidden="1" x14ac:dyDescent="0.3">
      <c r="A136" s="19" t="s">
        <v>152</v>
      </c>
      <c r="B136" s="19" t="s">
        <v>153</v>
      </c>
      <c r="C136" s="19">
        <v>31</v>
      </c>
      <c r="E136"/>
      <c r="F136"/>
      <c r="G136"/>
      <c r="H136"/>
      <c r="I136"/>
    </row>
    <row r="137" spans="1:9" hidden="1" x14ac:dyDescent="0.3">
      <c r="A137" s="19" t="s">
        <v>154</v>
      </c>
      <c r="B137" s="19" t="s">
        <v>155</v>
      </c>
      <c r="C137" s="19">
        <v>23</v>
      </c>
      <c r="E137"/>
      <c r="F137"/>
      <c r="G137"/>
      <c r="H137"/>
      <c r="I137"/>
    </row>
    <row r="138" spans="1:9" hidden="1" x14ac:dyDescent="0.3">
      <c r="A138" s="19" t="s">
        <v>156</v>
      </c>
      <c r="B138" s="19" t="s">
        <v>157</v>
      </c>
      <c r="C138" s="19">
        <v>27</v>
      </c>
      <c r="E138"/>
      <c r="F138"/>
      <c r="G138"/>
      <c r="H138"/>
      <c r="I138"/>
    </row>
    <row r="139" spans="1:9" hidden="1" x14ac:dyDescent="0.3">
      <c r="A139" s="19" t="s">
        <v>158</v>
      </c>
      <c r="B139" s="19" t="s">
        <v>159</v>
      </c>
      <c r="C139" s="19">
        <v>17</v>
      </c>
      <c r="E139"/>
      <c r="F139"/>
      <c r="G139"/>
      <c r="H139"/>
      <c r="I139"/>
    </row>
    <row r="140" spans="1:9" hidden="1" x14ac:dyDescent="0.3">
      <c r="A140" s="19" t="s">
        <v>160</v>
      </c>
      <c r="B140" s="19" t="s">
        <v>161</v>
      </c>
      <c r="C140" s="19">
        <v>15</v>
      </c>
      <c r="E140"/>
      <c r="F140"/>
      <c r="G140"/>
      <c r="H140"/>
      <c r="I140"/>
    </row>
    <row r="141" spans="1:9" hidden="1" x14ac:dyDescent="0.3">
      <c r="A141" s="19" t="s">
        <v>162</v>
      </c>
      <c r="B141" s="19" t="s">
        <v>163</v>
      </c>
      <c r="C141" s="19">
        <v>13</v>
      </c>
      <c r="E141"/>
      <c r="F141"/>
      <c r="G141"/>
      <c r="H141"/>
      <c r="I141"/>
    </row>
    <row r="142" spans="1:9" hidden="1" x14ac:dyDescent="0.3">
      <c r="A142" s="19" t="s">
        <v>164</v>
      </c>
      <c r="B142" s="19" t="s">
        <v>165</v>
      </c>
      <c r="C142" s="19">
        <v>21</v>
      </c>
      <c r="E142"/>
      <c r="F142"/>
      <c r="G142"/>
      <c r="H142"/>
      <c r="I142"/>
    </row>
    <row r="143" spans="1:9" hidden="1" x14ac:dyDescent="0.3">
      <c r="A143" s="19" t="s">
        <v>166</v>
      </c>
      <c r="B143" s="19" t="s">
        <v>167</v>
      </c>
      <c r="C143" s="19">
        <v>34</v>
      </c>
      <c r="E143"/>
      <c r="F143"/>
      <c r="G143"/>
      <c r="H143"/>
      <c r="I143"/>
    </row>
    <row r="144" spans="1:9" hidden="1" x14ac:dyDescent="0.3">
      <c r="A144" s="19" t="s">
        <v>168</v>
      </c>
      <c r="B144" s="19" t="s">
        <v>169</v>
      </c>
      <c r="C144" s="19" t="s">
        <v>588</v>
      </c>
      <c r="E144"/>
      <c r="F144"/>
      <c r="G144"/>
      <c r="H144"/>
      <c r="I144"/>
    </row>
    <row r="145" spans="1:11" hidden="1" x14ac:dyDescent="0.3">
      <c r="A145" s="19" t="s">
        <v>170</v>
      </c>
      <c r="B145" s="19" t="s">
        <v>171</v>
      </c>
      <c r="C145" s="19" t="s">
        <v>593</v>
      </c>
      <c r="E145"/>
      <c r="F145"/>
      <c r="G145"/>
      <c r="H145"/>
      <c r="I145"/>
    </row>
    <row r="146" spans="1:11" hidden="1" x14ac:dyDescent="0.3">
      <c r="A146" s="19" t="s">
        <v>172</v>
      </c>
      <c r="B146" s="19" t="s">
        <v>173</v>
      </c>
      <c r="C146" s="19">
        <v>11</v>
      </c>
      <c r="E146"/>
      <c r="F146"/>
      <c r="G146"/>
      <c r="H146"/>
      <c r="I146"/>
    </row>
    <row r="147" spans="1:11" hidden="1" x14ac:dyDescent="0.3">
      <c r="A147" s="19" t="s">
        <v>174</v>
      </c>
      <c r="B147" s="19" t="s">
        <v>175</v>
      </c>
      <c r="C147" s="19">
        <v>36</v>
      </c>
      <c r="E147"/>
      <c r="F147"/>
      <c r="G147"/>
      <c r="H147"/>
      <c r="I147"/>
    </row>
    <row r="148" spans="1:11" hidden="1" x14ac:dyDescent="0.3">
      <c r="A148" s="19" t="s">
        <v>176</v>
      </c>
      <c r="B148" s="19" t="s">
        <v>177</v>
      </c>
      <c r="C148" s="19">
        <v>33</v>
      </c>
      <c r="E148"/>
      <c r="F148"/>
      <c r="G148"/>
      <c r="H148"/>
      <c r="I148"/>
    </row>
    <row r="149" spans="1:11" hidden="1" x14ac:dyDescent="0.3">
      <c r="A149" s="19" t="s">
        <v>178</v>
      </c>
      <c r="B149" s="19" t="s">
        <v>179</v>
      </c>
      <c r="C149" s="19">
        <v>16</v>
      </c>
      <c r="E149"/>
      <c r="F149"/>
      <c r="G149"/>
      <c r="H149"/>
      <c r="I149"/>
    </row>
    <row r="150" spans="1:11" hidden="1" x14ac:dyDescent="0.3">
      <c r="A150" s="19" t="s">
        <v>180</v>
      </c>
      <c r="B150" s="19" t="s">
        <v>181</v>
      </c>
      <c r="C150" s="19" t="s">
        <v>590</v>
      </c>
      <c r="E150"/>
      <c r="F150"/>
      <c r="G150"/>
      <c r="H150"/>
      <c r="I150"/>
    </row>
    <row r="151" spans="1:11" hidden="1" x14ac:dyDescent="0.3">
      <c r="A151" s="19" t="s">
        <v>182</v>
      </c>
      <c r="B151" s="19" t="s">
        <v>183</v>
      </c>
      <c r="C151" s="19" t="s">
        <v>594</v>
      </c>
      <c r="E151"/>
      <c r="F151"/>
      <c r="G151"/>
      <c r="H151"/>
      <c r="I151"/>
    </row>
    <row r="152" spans="1:11" hidden="1" x14ac:dyDescent="0.3">
      <c r="A152" s="19" t="s">
        <v>184</v>
      </c>
      <c r="B152" s="19" t="s">
        <v>185</v>
      </c>
      <c r="C152" s="19">
        <v>19</v>
      </c>
      <c r="E152"/>
      <c r="F152"/>
      <c r="G152"/>
      <c r="H152"/>
      <c r="I152"/>
    </row>
    <row r="153" spans="1:11" hidden="1" x14ac:dyDescent="0.3">
      <c r="A153" s="17"/>
      <c r="B153" s="17"/>
      <c r="E153"/>
      <c r="F153"/>
      <c r="G153"/>
      <c r="H153"/>
      <c r="I153"/>
    </row>
    <row r="154" spans="1:11" hidden="1" x14ac:dyDescent="0.3">
      <c r="A154" s="16" t="s">
        <v>595</v>
      </c>
      <c r="B154" s="16" t="s">
        <v>596</v>
      </c>
      <c r="E154"/>
      <c r="F154"/>
      <c r="G154"/>
      <c r="H154"/>
      <c r="I154"/>
    </row>
    <row r="155" spans="1:11" hidden="1" x14ac:dyDescent="0.3">
      <c r="A155" s="17" t="s">
        <v>186</v>
      </c>
      <c r="B155" s="17" t="s">
        <v>187</v>
      </c>
      <c r="E155"/>
      <c r="F155"/>
      <c r="G155"/>
      <c r="H155"/>
      <c r="I155"/>
    </row>
    <row r="156" spans="1:11" s="6" customFormat="1" hidden="1" x14ac:dyDescent="0.3">
      <c r="A156" s="17" t="s">
        <v>188</v>
      </c>
      <c r="B156" s="17" t="s">
        <v>189</v>
      </c>
      <c r="C156" s="12"/>
      <c r="E156"/>
      <c r="F156"/>
      <c r="G156"/>
      <c r="H156"/>
      <c r="I156"/>
      <c r="J156" s="4"/>
      <c r="K156" s="4"/>
    </row>
    <row r="157" spans="1:11" s="6" customFormat="1" hidden="1" x14ac:dyDescent="0.3">
      <c r="A157" s="17" t="s">
        <v>190</v>
      </c>
      <c r="B157" s="17" t="s">
        <v>191</v>
      </c>
      <c r="C157" s="12"/>
      <c r="E157"/>
      <c r="F157"/>
      <c r="G157"/>
      <c r="H157"/>
      <c r="I157"/>
      <c r="J157" s="4"/>
      <c r="K157" s="4"/>
    </row>
    <row r="158" spans="1:11" s="6" customFormat="1" hidden="1" x14ac:dyDescent="0.3">
      <c r="A158" s="17" t="s">
        <v>192</v>
      </c>
      <c r="B158" s="17" t="s">
        <v>193</v>
      </c>
      <c r="C158" s="12"/>
      <c r="E158" s="4"/>
      <c r="F158" s="4"/>
      <c r="G158" s="4"/>
      <c r="H158" s="4"/>
      <c r="I158" s="4"/>
      <c r="J158" s="4"/>
      <c r="K158" s="4"/>
    </row>
    <row r="159" spans="1:11" s="6" customFormat="1" hidden="1" x14ac:dyDescent="0.3">
      <c r="A159" s="17" t="s">
        <v>194</v>
      </c>
      <c r="B159" s="17" t="s">
        <v>195</v>
      </c>
      <c r="C159" s="12"/>
      <c r="E159" s="4"/>
      <c r="F159" s="4"/>
      <c r="G159" s="4"/>
      <c r="H159" s="4"/>
      <c r="I159" s="4"/>
      <c r="J159" s="4"/>
      <c r="K159" s="4"/>
    </row>
    <row r="160" spans="1:11" s="6" customFormat="1" hidden="1" x14ac:dyDescent="0.3">
      <c r="A160" s="17" t="s">
        <v>196</v>
      </c>
      <c r="B160" s="17" t="s">
        <v>197</v>
      </c>
      <c r="C160" s="12"/>
      <c r="E160" s="4"/>
      <c r="F160" s="4"/>
      <c r="G160" s="4"/>
      <c r="H160" s="4"/>
      <c r="I160" s="4"/>
      <c r="J160" s="4"/>
      <c r="K160" s="4"/>
    </row>
    <row r="161" spans="1:11" s="6" customFormat="1" hidden="1" x14ac:dyDescent="0.3">
      <c r="A161" s="17" t="s">
        <v>198</v>
      </c>
      <c r="B161" s="17" t="s">
        <v>199</v>
      </c>
      <c r="C161" s="12"/>
      <c r="E161" s="4"/>
      <c r="F161" s="4"/>
      <c r="G161" s="4"/>
      <c r="H161" s="4"/>
      <c r="I161" s="4"/>
      <c r="J161" s="4"/>
      <c r="K161" s="4"/>
    </row>
    <row r="162" spans="1:11" s="6" customFormat="1" hidden="1" x14ac:dyDescent="0.3">
      <c r="A162" s="17" t="s">
        <v>200</v>
      </c>
      <c r="B162" s="17" t="s">
        <v>201</v>
      </c>
      <c r="C162" s="12"/>
      <c r="E162" s="4"/>
      <c r="F162" s="4"/>
      <c r="G162" s="4"/>
      <c r="H162" s="4"/>
      <c r="I162" s="4"/>
      <c r="J162" s="4"/>
      <c r="K162" s="4"/>
    </row>
    <row r="163" spans="1:11" s="6" customFormat="1" hidden="1" x14ac:dyDescent="0.3">
      <c r="A163" s="17" t="s">
        <v>202</v>
      </c>
      <c r="B163" s="17" t="s">
        <v>203</v>
      </c>
      <c r="C163" s="12"/>
      <c r="E163" s="4"/>
      <c r="F163" s="4"/>
      <c r="G163" s="4"/>
      <c r="H163" s="4"/>
      <c r="I163" s="4"/>
      <c r="J163" s="4"/>
      <c r="K163" s="4"/>
    </row>
    <row r="164" spans="1:11" s="6" customFormat="1" hidden="1" x14ac:dyDescent="0.3">
      <c r="A164" s="17" t="s">
        <v>204</v>
      </c>
      <c r="B164" s="17" t="s">
        <v>205</v>
      </c>
      <c r="C164" s="12"/>
      <c r="E164" s="4"/>
      <c r="F164" s="4"/>
      <c r="G164" s="4"/>
      <c r="H164" s="4"/>
      <c r="I164" s="4"/>
      <c r="J164" s="4"/>
      <c r="K164" s="4"/>
    </row>
    <row r="165" spans="1:11" s="6" customFormat="1" hidden="1" x14ac:dyDescent="0.3">
      <c r="A165" s="17" t="s">
        <v>206</v>
      </c>
      <c r="B165" s="17" t="s">
        <v>207</v>
      </c>
      <c r="C165" s="12"/>
      <c r="E165" s="4"/>
      <c r="F165" s="4"/>
      <c r="G165" s="4"/>
      <c r="H165" s="4"/>
      <c r="I165" s="4"/>
      <c r="J165" s="4"/>
      <c r="K165" s="4"/>
    </row>
    <row r="166" spans="1:11" s="6" customFormat="1" hidden="1" x14ac:dyDescent="0.3">
      <c r="A166" s="17" t="s">
        <v>40</v>
      </c>
      <c r="B166" s="21" t="s">
        <v>208</v>
      </c>
      <c r="C166" s="12"/>
      <c r="E166" s="4"/>
      <c r="F166" s="4"/>
      <c r="G166" s="4"/>
      <c r="H166" s="4"/>
      <c r="I166" s="4"/>
      <c r="J166" s="4"/>
      <c r="K166" s="4"/>
    </row>
    <row r="167" spans="1:11" s="6" customFormat="1" hidden="1" x14ac:dyDescent="0.3">
      <c r="A167" s="17"/>
      <c r="B167" s="17"/>
      <c r="C167" s="12"/>
      <c r="E167" s="4"/>
      <c r="F167" s="4"/>
      <c r="G167" s="4"/>
      <c r="H167" s="4"/>
      <c r="I167" s="4"/>
      <c r="J167" s="4"/>
      <c r="K167" s="4"/>
    </row>
    <row r="168" spans="1:11" s="6" customFormat="1" hidden="1" x14ac:dyDescent="0.3">
      <c r="A168" s="22" t="s">
        <v>209</v>
      </c>
      <c r="B168" s="22" t="s">
        <v>210</v>
      </c>
      <c r="C168" s="12"/>
      <c r="E168" s="4"/>
      <c r="F168" s="4"/>
      <c r="G168" s="4"/>
      <c r="H168" s="4"/>
      <c r="I168" s="4"/>
      <c r="J168" s="4"/>
      <c r="K168" s="4"/>
    </row>
    <row r="169" spans="1:11" s="6" customFormat="1" hidden="1" x14ac:dyDescent="0.3">
      <c r="A169" s="17" t="s">
        <v>7</v>
      </c>
      <c r="B169" s="17" t="s">
        <v>211</v>
      </c>
      <c r="C169" s="12" t="s">
        <v>212</v>
      </c>
      <c r="E169" s="4"/>
      <c r="F169" s="4"/>
      <c r="G169" s="4"/>
      <c r="H169" s="4"/>
      <c r="I169" s="4"/>
      <c r="J169" s="4"/>
      <c r="K169" s="4"/>
    </row>
    <row r="170" spans="1:11" s="6" customFormat="1" hidden="1" x14ac:dyDescent="0.3">
      <c r="A170" s="134" t="s">
        <v>806</v>
      </c>
      <c r="B170" s="17" t="s">
        <v>808</v>
      </c>
      <c r="C170" s="12"/>
      <c r="E170" s="4"/>
      <c r="F170" s="4"/>
      <c r="G170" s="4"/>
      <c r="H170" s="4"/>
      <c r="I170" s="4"/>
      <c r="J170" s="4"/>
      <c r="K170" s="4"/>
    </row>
    <row r="171" spans="1:11" s="6" customFormat="1" hidden="1" x14ac:dyDescent="0.3">
      <c r="A171" s="134" t="s">
        <v>807</v>
      </c>
      <c r="B171" s="17" t="s">
        <v>809</v>
      </c>
      <c r="C171" s="12"/>
      <c r="E171" s="4"/>
      <c r="F171" s="4"/>
      <c r="G171" s="4"/>
      <c r="H171" s="4"/>
      <c r="I171" s="4"/>
      <c r="J171" s="4"/>
      <c r="K171" s="4"/>
    </row>
    <row r="172" spans="1:11" s="6" customFormat="1" hidden="1" x14ac:dyDescent="0.3">
      <c r="A172" s="134" t="s">
        <v>360</v>
      </c>
      <c r="B172" s="17" t="s">
        <v>361</v>
      </c>
      <c r="C172" s="12"/>
      <c r="E172" s="4"/>
      <c r="F172" s="4"/>
      <c r="G172" s="4"/>
      <c r="H172" s="4"/>
      <c r="I172" s="4"/>
      <c r="J172" s="4"/>
      <c r="K172" s="4"/>
    </row>
    <row r="173" spans="1:11" s="6" customFormat="1" hidden="1" x14ac:dyDescent="0.3">
      <c r="A173" s="134" t="s">
        <v>362</v>
      </c>
      <c r="B173" s="17" t="s">
        <v>363</v>
      </c>
      <c r="C173" s="12"/>
      <c r="E173" s="4"/>
      <c r="F173" s="4"/>
      <c r="G173" s="4"/>
      <c r="H173" s="4"/>
      <c r="I173" s="4"/>
      <c r="J173" s="4"/>
      <c r="K173" s="4"/>
    </row>
    <row r="174" spans="1:11" s="6" customFormat="1" hidden="1" x14ac:dyDescent="0.3">
      <c r="A174" s="134" t="s">
        <v>364</v>
      </c>
      <c r="B174" s="17" t="s">
        <v>365</v>
      </c>
      <c r="C174" s="12"/>
      <c r="E174" s="4"/>
      <c r="F174" s="4"/>
      <c r="G174" s="4"/>
      <c r="H174" s="4"/>
      <c r="I174" s="4"/>
      <c r="J174" s="4"/>
      <c r="K174" s="4"/>
    </row>
    <row r="175" spans="1:11" s="6" customFormat="1" hidden="1" x14ac:dyDescent="0.3">
      <c r="A175" s="134" t="s">
        <v>366</v>
      </c>
      <c r="B175" s="17" t="s">
        <v>367</v>
      </c>
      <c r="C175" s="12"/>
      <c r="E175" s="4"/>
      <c r="F175" s="4"/>
      <c r="G175" s="4"/>
      <c r="H175" s="4"/>
      <c r="I175" s="4"/>
      <c r="J175" s="4"/>
      <c r="K175" s="4"/>
    </row>
    <row r="176" spans="1:11" s="6" customFormat="1" hidden="1" x14ac:dyDescent="0.3">
      <c r="A176" s="134" t="s">
        <v>368</v>
      </c>
      <c r="B176" s="17" t="s">
        <v>369</v>
      </c>
      <c r="C176" s="12"/>
      <c r="E176" s="4"/>
      <c r="F176" s="4"/>
      <c r="G176" s="4"/>
      <c r="H176" s="4"/>
      <c r="I176" s="4"/>
      <c r="J176" s="4"/>
      <c r="K176" s="4"/>
    </row>
    <row r="177" spans="1:11" s="6" customFormat="1" hidden="1" x14ac:dyDescent="0.3">
      <c r="A177" s="134" t="s">
        <v>370</v>
      </c>
      <c r="B177" s="17" t="s">
        <v>371</v>
      </c>
      <c r="C177" s="12"/>
      <c r="E177" s="4"/>
      <c r="F177" s="4"/>
      <c r="G177" s="4"/>
      <c r="H177" s="4"/>
      <c r="I177" s="4"/>
      <c r="J177" s="4"/>
      <c r="K177" s="4"/>
    </row>
    <row r="178" spans="1:11" s="6" customFormat="1" hidden="1" x14ac:dyDescent="0.3">
      <c r="A178" s="134" t="s">
        <v>372</v>
      </c>
      <c r="B178" s="17" t="s">
        <v>373</v>
      </c>
      <c r="C178" s="12"/>
      <c r="E178" s="4"/>
      <c r="F178" s="4"/>
      <c r="G178" s="4"/>
      <c r="H178" s="4"/>
      <c r="I178" s="4"/>
      <c r="J178" s="4"/>
      <c r="K178" s="4"/>
    </row>
    <row r="179" spans="1:11" s="6" customFormat="1" hidden="1" x14ac:dyDescent="0.3">
      <c r="A179" s="134" t="s">
        <v>374</v>
      </c>
      <c r="B179" s="17" t="s">
        <v>375</v>
      </c>
      <c r="C179" s="12"/>
      <c r="E179" s="4"/>
      <c r="F179" s="4"/>
      <c r="G179" s="4"/>
      <c r="H179" s="4"/>
      <c r="I179" s="4"/>
      <c r="J179" s="4"/>
      <c r="K179" s="4"/>
    </row>
    <row r="180" spans="1:11" s="6" customFormat="1" hidden="1" x14ac:dyDescent="0.3">
      <c r="A180" s="134" t="s">
        <v>376</v>
      </c>
      <c r="B180" s="17" t="s">
        <v>377</v>
      </c>
      <c r="C180" s="12"/>
      <c r="E180" s="4"/>
      <c r="F180" s="4"/>
      <c r="G180" s="4"/>
      <c r="H180" s="4"/>
      <c r="I180" s="4"/>
      <c r="J180" s="4"/>
      <c r="K180" s="4"/>
    </row>
    <row r="181" spans="1:11" s="6" customFormat="1" hidden="1" x14ac:dyDescent="0.3">
      <c r="A181" s="134" t="s">
        <v>378</v>
      </c>
      <c r="B181" s="17" t="s">
        <v>379</v>
      </c>
      <c r="C181" s="12"/>
      <c r="E181" s="4"/>
      <c r="F181" s="4"/>
      <c r="G181" s="4"/>
      <c r="H181" s="4"/>
      <c r="I181" s="4"/>
      <c r="J181" s="4"/>
      <c r="K181" s="4"/>
    </row>
    <row r="182" spans="1:11" s="6" customFormat="1" hidden="1" x14ac:dyDescent="0.3">
      <c r="A182" s="134" t="s">
        <v>380</v>
      </c>
      <c r="B182" s="17" t="s">
        <v>381</v>
      </c>
      <c r="C182" s="12"/>
      <c r="E182" s="4"/>
      <c r="F182" s="4"/>
      <c r="G182" s="4"/>
      <c r="H182" s="4"/>
      <c r="I182" s="4"/>
      <c r="J182" s="4"/>
      <c r="K182" s="4"/>
    </row>
    <row r="183" spans="1:11" s="6" customFormat="1" hidden="1" x14ac:dyDescent="0.3">
      <c r="A183" s="134" t="s">
        <v>382</v>
      </c>
      <c r="B183" s="17" t="s">
        <v>383</v>
      </c>
      <c r="C183" s="12"/>
      <c r="E183" s="4"/>
      <c r="F183" s="4"/>
      <c r="G183" s="4"/>
      <c r="H183" s="4"/>
      <c r="I183" s="4"/>
      <c r="J183" s="4"/>
      <c r="K183" s="4"/>
    </row>
    <row r="184" spans="1:11" s="6" customFormat="1" hidden="1" x14ac:dyDescent="0.3">
      <c r="A184" s="134" t="s">
        <v>384</v>
      </c>
      <c r="B184" s="17" t="s">
        <v>385</v>
      </c>
      <c r="C184" s="12"/>
      <c r="E184" s="4"/>
      <c r="F184" s="4"/>
      <c r="G184" s="4"/>
      <c r="H184" s="4"/>
      <c r="I184" s="4"/>
      <c r="J184" s="4"/>
      <c r="K184" s="4"/>
    </row>
    <row r="185" spans="1:11" s="6" customFormat="1" hidden="1" x14ac:dyDescent="0.3">
      <c r="A185" s="134" t="s">
        <v>386</v>
      </c>
      <c r="B185" s="17" t="s">
        <v>387</v>
      </c>
      <c r="C185" s="12"/>
      <c r="E185" s="4"/>
      <c r="F185" s="4"/>
      <c r="G185" s="4"/>
      <c r="H185" s="4"/>
      <c r="I185" s="4"/>
      <c r="J185" s="4"/>
      <c r="K185" s="4"/>
    </row>
    <row r="186" spans="1:11" s="6" customFormat="1" hidden="1" x14ac:dyDescent="0.3">
      <c r="A186" s="134" t="s">
        <v>613</v>
      </c>
      <c r="B186" s="17" t="s">
        <v>407</v>
      </c>
      <c r="C186" s="12"/>
      <c r="E186" s="4"/>
      <c r="F186" s="4"/>
      <c r="G186" s="4"/>
      <c r="H186" s="4"/>
      <c r="I186" s="4"/>
      <c r="J186" s="4"/>
      <c r="K186" s="4"/>
    </row>
    <row r="187" spans="1:11" s="6" customFormat="1" hidden="1" x14ac:dyDescent="0.3">
      <c r="A187" s="134" t="s">
        <v>736</v>
      </c>
      <c r="B187" s="17" t="s">
        <v>737</v>
      </c>
      <c r="C187" s="12"/>
      <c r="E187" s="4"/>
      <c r="F187" s="4"/>
      <c r="G187" s="4"/>
      <c r="H187" s="4"/>
      <c r="I187" s="4"/>
      <c r="J187" s="4"/>
      <c r="K187" s="4"/>
    </row>
    <row r="188" spans="1:11" s="6" customFormat="1" hidden="1" x14ac:dyDescent="0.3">
      <c r="A188" s="17" t="s">
        <v>597</v>
      </c>
      <c r="B188" s="17" t="s">
        <v>605</v>
      </c>
      <c r="C188" s="12"/>
      <c r="E188" s="4"/>
      <c r="F188" s="4"/>
      <c r="G188" s="4"/>
      <c r="H188" s="4"/>
      <c r="I188" s="4"/>
      <c r="J188" s="4"/>
      <c r="K188" s="4"/>
    </row>
    <row r="189" spans="1:11" s="6" customFormat="1" hidden="1" x14ac:dyDescent="0.3">
      <c r="A189" s="17" t="s">
        <v>598</v>
      </c>
      <c r="B189" s="17" t="s">
        <v>606</v>
      </c>
      <c r="C189" s="12"/>
      <c r="E189" s="4"/>
      <c r="F189" s="4"/>
      <c r="G189" s="4"/>
      <c r="H189" s="4"/>
      <c r="I189" s="4"/>
      <c r="J189" s="4"/>
      <c r="K189" s="4"/>
    </row>
    <row r="190" spans="1:11" s="6" customFormat="1" hidden="1" x14ac:dyDescent="0.3">
      <c r="A190" s="17" t="s">
        <v>599</v>
      </c>
      <c r="B190" s="17" t="s">
        <v>607</v>
      </c>
      <c r="C190" s="12"/>
      <c r="E190" s="4"/>
      <c r="F190" s="4"/>
      <c r="G190" s="4"/>
      <c r="H190" s="4"/>
      <c r="I190" s="4"/>
      <c r="J190" s="4"/>
      <c r="K190" s="4"/>
    </row>
    <row r="191" spans="1:11" s="6" customFormat="1" hidden="1" x14ac:dyDescent="0.3">
      <c r="A191" s="17" t="s">
        <v>600</v>
      </c>
      <c r="B191" s="17" t="s">
        <v>608</v>
      </c>
      <c r="C191" s="12"/>
      <c r="E191" s="4"/>
      <c r="F191" s="4"/>
      <c r="G191" s="4"/>
      <c r="H191" s="4"/>
      <c r="I191" s="4"/>
      <c r="J191" s="4"/>
      <c r="K191" s="4"/>
    </row>
    <row r="192" spans="1:11" s="6" customFormat="1" hidden="1" x14ac:dyDescent="0.3">
      <c r="A192" s="17" t="s">
        <v>601</v>
      </c>
      <c r="B192" s="17" t="s">
        <v>609</v>
      </c>
      <c r="C192" s="12"/>
      <c r="E192" s="4"/>
      <c r="F192" s="4"/>
      <c r="G192" s="4"/>
      <c r="H192" s="4"/>
      <c r="I192" s="4"/>
      <c r="J192" s="4"/>
      <c r="K192" s="4"/>
    </row>
    <row r="193" spans="1:11" s="6" customFormat="1" hidden="1" x14ac:dyDescent="0.3">
      <c r="A193" s="17" t="s">
        <v>602</v>
      </c>
      <c r="B193" s="17" t="s">
        <v>610</v>
      </c>
      <c r="C193" s="12"/>
      <c r="E193" s="4"/>
      <c r="F193" s="4"/>
      <c r="G193" s="4"/>
      <c r="H193" s="4"/>
      <c r="I193" s="4"/>
      <c r="J193" s="4"/>
      <c r="K193" s="4"/>
    </row>
    <row r="194" spans="1:11" s="6" customFormat="1" hidden="1" x14ac:dyDescent="0.3">
      <c r="A194" s="17" t="s">
        <v>603</v>
      </c>
      <c r="B194" s="17" t="s">
        <v>611</v>
      </c>
      <c r="C194" s="12"/>
      <c r="E194" s="4"/>
      <c r="F194" s="4"/>
      <c r="G194" s="4"/>
      <c r="H194" s="4"/>
      <c r="I194" s="4"/>
      <c r="J194" s="4"/>
      <c r="K194" s="4"/>
    </row>
    <row r="195" spans="1:11" s="6" customFormat="1" hidden="1" x14ac:dyDescent="0.3">
      <c r="A195" s="17" t="s">
        <v>604</v>
      </c>
      <c r="B195" s="17" t="s">
        <v>612</v>
      </c>
      <c r="C195" s="12"/>
      <c r="E195" s="4"/>
      <c r="F195" s="4"/>
      <c r="G195" s="4"/>
      <c r="H195" s="4"/>
      <c r="I195" s="4"/>
      <c r="J195" s="4"/>
      <c r="K195" s="4"/>
    </row>
    <row r="196" spans="1:11" s="6" customFormat="1" hidden="1" x14ac:dyDescent="0.3">
      <c r="A196" s="17" t="s">
        <v>213</v>
      </c>
      <c r="B196" s="17" t="s">
        <v>214</v>
      </c>
      <c r="C196" s="12"/>
      <c r="E196" s="4"/>
      <c r="F196" s="4"/>
      <c r="G196" s="4"/>
      <c r="H196" s="4"/>
      <c r="I196" s="4"/>
      <c r="J196" s="4"/>
      <c r="K196" s="4"/>
    </row>
    <row r="197" spans="1:11" s="6" customFormat="1" hidden="1" x14ac:dyDescent="0.3">
      <c r="A197" s="17" t="s">
        <v>9</v>
      </c>
      <c r="B197" s="17" t="s">
        <v>215</v>
      </c>
      <c r="C197" s="12" t="s">
        <v>216</v>
      </c>
      <c r="E197" s="4"/>
      <c r="F197" s="4"/>
      <c r="G197" s="4"/>
      <c r="H197" s="4"/>
      <c r="I197" s="4"/>
      <c r="J197" s="4"/>
      <c r="K197" s="4"/>
    </row>
    <row r="198" spans="1:11" s="6" customFormat="1" hidden="1" x14ac:dyDescent="0.3">
      <c r="A198" s="17" t="s">
        <v>217</v>
      </c>
      <c r="B198" s="17" t="s">
        <v>218</v>
      </c>
      <c r="C198" s="12"/>
      <c r="E198" s="4"/>
      <c r="F198" s="4"/>
      <c r="G198" s="4"/>
      <c r="H198" s="4"/>
      <c r="I198" s="4"/>
      <c r="J198" s="4"/>
      <c r="K198" s="4"/>
    </row>
    <row r="199" spans="1:11" s="6" customFormat="1" hidden="1" x14ac:dyDescent="0.3">
      <c r="A199" s="17" t="s">
        <v>219</v>
      </c>
      <c r="B199" s="17" t="s">
        <v>220</v>
      </c>
      <c r="C199" s="12"/>
      <c r="E199" s="4"/>
      <c r="F199" s="4"/>
      <c r="G199" s="4"/>
      <c r="H199" s="4"/>
      <c r="I199" s="4"/>
      <c r="J199" s="4"/>
      <c r="K199" s="4"/>
    </row>
    <row r="200" spans="1:11" s="6" customFormat="1" hidden="1" x14ac:dyDescent="0.3">
      <c r="A200" s="17" t="s">
        <v>221</v>
      </c>
      <c r="B200" s="17" t="s">
        <v>222</v>
      </c>
      <c r="C200" s="12"/>
      <c r="E200" s="4"/>
      <c r="F200" s="4"/>
      <c r="G200" s="4"/>
      <c r="H200" s="4"/>
      <c r="I200" s="4"/>
      <c r="J200" s="4"/>
      <c r="K200" s="4"/>
    </row>
    <row r="201" spans="1:11" s="6" customFormat="1" hidden="1" x14ac:dyDescent="0.3">
      <c r="A201" s="17" t="s">
        <v>223</v>
      </c>
      <c r="B201" s="17" t="s">
        <v>224</v>
      </c>
      <c r="C201" s="12" t="s">
        <v>212</v>
      </c>
      <c r="E201" s="4"/>
      <c r="F201" s="4"/>
      <c r="G201" s="4"/>
      <c r="H201" s="4"/>
      <c r="I201" s="4"/>
      <c r="J201" s="4"/>
      <c r="K201" s="4"/>
    </row>
    <row r="202" spans="1:11" s="6" customFormat="1" hidden="1" x14ac:dyDescent="0.3">
      <c r="A202" s="17" t="s">
        <v>225</v>
      </c>
      <c r="B202" s="17" t="s">
        <v>226</v>
      </c>
      <c r="C202" s="12" t="s">
        <v>227</v>
      </c>
      <c r="E202" s="4"/>
      <c r="F202" s="4"/>
      <c r="G202" s="4"/>
      <c r="H202" s="4"/>
      <c r="I202" s="4"/>
      <c r="J202" s="4"/>
      <c r="K202" s="4"/>
    </row>
    <row r="203" spans="1:11" s="6" customFormat="1" hidden="1" x14ac:dyDescent="0.3">
      <c r="A203" s="17" t="s">
        <v>228</v>
      </c>
      <c r="B203" s="17" t="s">
        <v>229</v>
      </c>
      <c r="C203" s="12" t="s">
        <v>216</v>
      </c>
      <c r="E203" s="4"/>
      <c r="F203" s="4"/>
      <c r="G203" s="4"/>
      <c r="H203" s="4"/>
      <c r="I203" s="4"/>
      <c r="J203" s="4"/>
      <c r="K203" s="4"/>
    </row>
    <row r="204" spans="1:11" s="6" customFormat="1" hidden="1" x14ac:dyDescent="0.3">
      <c r="A204" s="17" t="s">
        <v>230</v>
      </c>
      <c r="B204" s="17" t="s">
        <v>231</v>
      </c>
      <c r="C204" s="12" t="s">
        <v>227</v>
      </c>
      <c r="E204" s="4"/>
      <c r="F204" s="4"/>
      <c r="G204" s="4"/>
      <c r="H204" s="4"/>
      <c r="I204" s="4"/>
      <c r="J204" s="4"/>
      <c r="K204" s="4"/>
    </row>
    <row r="205" spans="1:11" s="6" customFormat="1" hidden="1" x14ac:dyDescent="0.3">
      <c r="A205" s="17" t="s">
        <v>232</v>
      </c>
      <c r="B205" s="17" t="s">
        <v>233</v>
      </c>
      <c r="C205" s="12" t="s">
        <v>216</v>
      </c>
      <c r="E205" s="4"/>
      <c r="F205" s="4"/>
      <c r="G205" s="4"/>
      <c r="H205" s="4"/>
      <c r="I205" s="4"/>
      <c r="J205" s="4"/>
      <c r="K205" s="4"/>
    </row>
    <row r="206" spans="1:11" s="6" customFormat="1" hidden="1" x14ac:dyDescent="0.3">
      <c r="A206" s="17" t="s">
        <v>234</v>
      </c>
      <c r="B206" s="17" t="s">
        <v>235</v>
      </c>
      <c r="C206" s="12" t="s">
        <v>236</v>
      </c>
      <c r="E206" s="4"/>
      <c r="F206" s="4"/>
      <c r="G206" s="4"/>
      <c r="H206" s="4"/>
      <c r="I206" s="4"/>
      <c r="J206" s="4"/>
      <c r="K206" s="4"/>
    </row>
    <row r="207" spans="1:11" s="6" customFormat="1" hidden="1" x14ac:dyDescent="0.3">
      <c r="A207" s="17" t="s">
        <v>237</v>
      </c>
      <c r="B207" s="17" t="s">
        <v>238</v>
      </c>
      <c r="C207" s="12" t="s">
        <v>239</v>
      </c>
      <c r="E207" s="4"/>
      <c r="F207" s="4"/>
      <c r="G207" s="4"/>
      <c r="H207" s="4"/>
      <c r="I207" s="4"/>
      <c r="J207" s="4"/>
      <c r="K207" s="4"/>
    </row>
    <row r="208" spans="1:11" s="6" customFormat="1" hidden="1" x14ac:dyDescent="0.3">
      <c r="A208" s="17" t="s">
        <v>240</v>
      </c>
      <c r="B208" s="17" t="s">
        <v>241</v>
      </c>
      <c r="C208" s="12"/>
      <c r="E208" s="4"/>
      <c r="F208" s="4"/>
      <c r="G208" s="4"/>
      <c r="H208" s="4"/>
      <c r="I208" s="4"/>
      <c r="J208" s="4"/>
      <c r="K208" s="4"/>
    </row>
    <row r="209" spans="1:11" s="6" customFormat="1" hidden="1" x14ac:dyDescent="0.3">
      <c r="A209" s="17" t="s">
        <v>242</v>
      </c>
      <c r="B209" s="17" t="s">
        <v>243</v>
      </c>
      <c r="C209" s="12" t="s">
        <v>244</v>
      </c>
      <c r="E209" s="4"/>
      <c r="F209" s="4"/>
      <c r="G209" s="4"/>
      <c r="H209" s="4"/>
      <c r="I209" s="4"/>
      <c r="J209" s="4"/>
      <c r="K209" s="4"/>
    </row>
    <row r="210" spans="1:11" s="6" customFormat="1" hidden="1" x14ac:dyDescent="0.3">
      <c r="A210" s="17" t="s">
        <v>245</v>
      </c>
      <c r="B210" s="17" t="s">
        <v>246</v>
      </c>
      <c r="C210" s="12" t="s">
        <v>244</v>
      </c>
      <c r="E210" s="4"/>
      <c r="F210" s="4"/>
      <c r="G210" s="4"/>
      <c r="H210" s="4"/>
      <c r="I210" s="4"/>
      <c r="J210" s="4"/>
      <c r="K210" s="4"/>
    </row>
    <row r="211" spans="1:11" s="6" customFormat="1" hidden="1" x14ac:dyDescent="0.3">
      <c r="A211" s="17" t="s">
        <v>247</v>
      </c>
      <c r="B211" s="17" t="s">
        <v>248</v>
      </c>
      <c r="C211" s="12" t="s">
        <v>244</v>
      </c>
      <c r="E211" s="4"/>
      <c r="F211" s="4"/>
      <c r="G211" s="4"/>
      <c r="H211" s="4"/>
      <c r="I211" s="4"/>
      <c r="J211" s="4"/>
      <c r="K211" s="4"/>
    </row>
    <row r="212" spans="1:11" s="6" customFormat="1" hidden="1" x14ac:dyDescent="0.3">
      <c r="A212" s="17" t="s">
        <v>249</v>
      </c>
      <c r="B212" s="17" t="s">
        <v>250</v>
      </c>
      <c r="C212" s="12" t="s">
        <v>251</v>
      </c>
      <c r="E212" s="4"/>
      <c r="F212" s="4"/>
      <c r="G212" s="4"/>
      <c r="H212" s="4"/>
      <c r="I212" s="4"/>
      <c r="J212" s="4"/>
      <c r="K212" s="4"/>
    </row>
    <row r="213" spans="1:11" s="6" customFormat="1" hidden="1" x14ac:dyDescent="0.3">
      <c r="A213" s="17" t="s">
        <v>252</v>
      </c>
      <c r="B213" s="17" t="s">
        <v>253</v>
      </c>
      <c r="C213" s="12" t="s">
        <v>254</v>
      </c>
      <c r="E213" s="4"/>
      <c r="F213" s="4"/>
      <c r="G213" s="4"/>
      <c r="H213" s="4"/>
      <c r="I213" s="4"/>
      <c r="J213" s="4"/>
      <c r="K213" s="4"/>
    </row>
    <row r="214" spans="1:11" s="6" customFormat="1" hidden="1" x14ac:dyDescent="0.3">
      <c r="A214" s="17" t="s">
        <v>255</v>
      </c>
      <c r="B214" s="17" t="s">
        <v>256</v>
      </c>
      <c r="C214" s="12" t="s">
        <v>257</v>
      </c>
      <c r="E214" s="4"/>
      <c r="F214" s="4"/>
      <c r="G214" s="4"/>
      <c r="H214" s="4"/>
      <c r="I214" s="4"/>
      <c r="J214" s="4"/>
      <c r="K214" s="4"/>
    </row>
    <row r="215" spans="1:11" s="6" customFormat="1" hidden="1" x14ac:dyDescent="0.3">
      <c r="A215" s="17" t="s">
        <v>258</v>
      </c>
      <c r="B215" s="17" t="s">
        <v>259</v>
      </c>
      <c r="C215" s="12" t="s">
        <v>260</v>
      </c>
      <c r="E215" s="4"/>
      <c r="F215" s="4"/>
      <c r="G215" s="4"/>
      <c r="H215" s="4"/>
      <c r="I215" s="4"/>
      <c r="J215" s="4"/>
      <c r="K215" s="4"/>
    </row>
    <row r="216" spans="1:11" s="6" customFormat="1" hidden="1" x14ac:dyDescent="0.3">
      <c r="A216" s="17" t="s">
        <v>261</v>
      </c>
      <c r="B216" s="17" t="s">
        <v>262</v>
      </c>
      <c r="C216" s="12" t="s">
        <v>263</v>
      </c>
      <c r="E216" s="4"/>
      <c r="F216" s="4"/>
      <c r="G216" s="4"/>
      <c r="H216" s="4"/>
      <c r="I216" s="4"/>
      <c r="J216" s="4"/>
      <c r="K216" s="4"/>
    </row>
    <row r="217" spans="1:11" s="6" customFormat="1" hidden="1" x14ac:dyDescent="0.3">
      <c r="A217" s="17" t="s">
        <v>264</v>
      </c>
      <c r="B217" s="17" t="s">
        <v>265</v>
      </c>
      <c r="C217" s="12" t="s">
        <v>266</v>
      </c>
      <c r="E217" s="4"/>
      <c r="F217" s="4"/>
      <c r="G217" s="4"/>
      <c r="H217" s="4"/>
      <c r="I217" s="4"/>
      <c r="J217" s="4"/>
      <c r="K217" s="4"/>
    </row>
    <row r="218" spans="1:11" s="6" customFormat="1" hidden="1" x14ac:dyDescent="0.3">
      <c r="A218" s="17" t="s">
        <v>267</v>
      </c>
      <c r="B218" s="17" t="s">
        <v>268</v>
      </c>
      <c r="C218" s="12" t="s">
        <v>269</v>
      </c>
      <c r="E218" s="4"/>
      <c r="F218" s="4"/>
      <c r="G218" s="4"/>
      <c r="H218" s="4"/>
      <c r="I218" s="4"/>
      <c r="J218" s="4"/>
      <c r="K218" s="4"/>
    </row>
    <row r="219" spans="1:11" s="6" customFormat="1" hidden="1" x14ac:dyDescent="0.3">
      <c r="A219" s="17" t="s">
        <v>270</v>
      </c>
      <c r="B219" s="17" t="s">
        <v>271</v>
      </c>
      <c r="C219" s="12" t="s">
        <v>272</v>
      </c>
      <c r="E219" s="4"/>
      <c r="F219" s="4"/>
      <c r="G219" s="4"/>
      <c r="H219" s="4"/>
      <c r="I219" s="4"/>
      <c r="J219" s="4"/>
      <c r="K219" s="4"/>
    </row>
    <row r="220" spans="1:11" s="6" customFormat="1" hidden="1" x14ac:dyDescent="0.3">
      <c r="A220" s="17" t="s">
        <v>273</v>
      </c>
      <c r="B220" s="17" t="s">
        <v>274</v>
      </c>
      <c r="C220" s="12" t="s">
        <v>275</v>
      </c>
      <c r="E220" s="4"/>
      <c r="F220" s="4"/>
      <c r="G220" s="4"/>
      <c r="H220" s="4"/>
      <c r="I220" s="4"/>
      <c r="J220" s="4"/>
      <c r="K220" s="4"/>
    </row>
    <row r="221" spans="1:11" s="6" customFormat="1" hidden="1" x14ac:dyDescent="0.3">
      <c r="A221" s="17" t="s">
        <v>276</v>
      </c>
      <c r="B221" s="17" t="s">
        <v>277</v>
      </c>
      <c r="C221" s="12" t="s">
        <v>278</v>
      </c>
      <c r="E221" s="4"/>
      <c r="F221" s="4"/>
      <c r="G221" s="4"/>
      <c r="H221" s="4"/>
      <c r="I221" s="4"/>
      <c r="J221" s="4"/>
      <c r="K221" s="4"/>
    </row>
    <row r="222" spans="1:11" s="6" customFormat="1" hidden="1" x14ac:dyDescent="0.3">
      <c r="A222" s="17" t="s">
        <v>279</v>
      </c>
      <c r="B222" s="17" t="s">
        <v>280</v>
      </c>
      <c r="C222" s="12" t="s">
        <v>21</v>
      </c>
      <c r="E222" s="4"/>
      <c r="F222" s="4"/>
      <c r="G222" s="4"/>
      <c r="H222" s="4"/>
      <c r="I222" s="4"/>
      <c r="J222" s="4"/>
      <c r="K222" s="4"/>
    </row>
    <row r="223" spans="1:11" s="6" customFormat="1" hidden="1" x14ac:dyDescent="0.3">
      <c r="A223" s="17" t="s">
        <v>281</v>
      </c>
      <c r="B223" s="17" t="s">
        <v>282</v>
      </c>
      <c r="C223" s="12" t="s">
        <v>283</v>
      </c>
      <c r="E223" s="4"/>
      <c r="F223" s="4"/>
      <c r="G223" s="4"/>
      <c r="H223" s="4"/>
      <c r="I223" s="4"/>
      <c r="J223" s="4"/>
      <c r="K223" s="4"/>
    </row>
    <row r="224" spans="1:11" s="6" customFormat="1" hidden="1" x14ac:dyDescent="0.3">
      <c r="A224" s="17" t="s">
        <v>284</v>
      </c>
      <c r="B224" s="17" t="s">
        <v>285</v>
      </c>
      <c r="C224" s="12" t="s">
        <v>236</v>
      </c>
      <c r="E224" s="4"/>
      <c r="F224" s="4"/>
      <c r="G224" s="4"/>
      <c r="H224" s="4"/>
      <c r="I224" s="4"/>
      <c r="J224" s="4"/>
      <c r="K224" s="4"/>
    </row>
    <row r="225" spans="1:11" s="6" customFormat="1" hidden="1" x14ac:dyDescent="0.3">
      <c r="A225" s="17" t="s">
        <v>286</v>
      </c>
      <c r="B225" s="17" t="s">
        <v>287</v>
      </c>
      <c r="C225" s="12" t="s">
        <v>278</v>
      </c>
      <c r="E225" s="4"/>
      <c r="F225" s="4"/>
      <c r="G225" s="4"/>
      <c r="H225" s="4"/>
      <c r="I225" s="4"/>
      <c r="J225" s="4"/>
      <c r="K225" s="4"/>
    </row>
    <row r="226" spans="1:11" s="6" customFormat="1" hidden="1" x14ac:dyDescent="0.3">
      <c r="A226" s="17" t="s">
        <v>288</v>
      </c>
      <c r="B226" s="17" t="s">
        <v>289</v>
      </c>
      <c r="C226" s="12" t="s">
        <v>216</v>
      </c>
      <c r="E226" s="4"/>
      <c r="F226" s="4"/>
      <c r="G226" s="4"/>
      <c r="H226" s="4"/>
      <c r="I226" s="4"/>
      <c r="J226" s="4"/>
      <c r="K226" s="4"/>
    </row>
    <row r="227" spans="1:11" s="6" customFormat="1" hidden="1" x14ac:dyDescent="0.3">
      <c r="A227" s="17" t="s">
        <v>290</v>
      </c>
      <c r="B227" s="17" t="s">
        <v>291</v>
      </c>
      <c r="C227" s="12" t="s">
        <v>239</v>
      </c>
      <c r="E227" s="4"/>
      <c r="F227" s="4"/>
      <c r="G227" s="4"/>
      <c r="H227" s="4"/>
      <c r="I227" s="4"/>
      <c r="J227" s="4"/>
      <c r="K227" s="4"/>
    </row>
    <row r="228" spans="1:11" s="6" customFormat="1" hidden="1" x14ac:dyDescent="0.3">
      <c r="A228" s="17" t="s">
        <v>292</v>
      </c>
      <c r="B228" s="17" t="s">
        <v>293</v>
      </c>
      <c r="C228" s="12" t="s">
        <v>294</v>
      </c>
      <c r="E228" s="4"/>
      <c r="F228" s="4"/>
      <c r="G228" s="4"/>
      <c r="H228" s="4"/>
      <c r="I228" s="4"/>
      <c r="J228" s="4"/>
      <c r="K228" s="4"/>
    </row>
    <row r="229" spans="1:11" s="6" customFormat="1" hidden="1" x14ac:dyDescent="0.3">
      <c r="A229" s="17" t="s">
        <v>295</v>
      </c>
      <c r="B229" s="17" t="s">
        <v>296</v>
      </c>
      <c r="C229" s="12"/>
      <c r="E229" s="4"/>
      <c r="F229" s="4"/>
      <c r="G229" s="4"/>
      <c r="H229" s="4"/>
      <c r="I229" s="4"/>
      <c r="J229" s="4"/>
      <c r="K229" s="4"/>
    </row>
    <row r="230" spans="1:11" s="6" customFormat="1" hidden="1" x14ac:dyDescent="0.3">
      <c r="A230" s="17" t="s">
        <v>297</v>
      </c>
      <c r="B230" s="17" t="s">
        <v>298</v>
      </c>
      <c r="C230" s="12" t="s">
        <v>299</v>
      </c>
      <c r="E230" s="4"/>
      <c r="F230" s="4"/>
      <c r="G230" s="4"/>
      <c r="H230" s="4"/>
      <c r="I230" s="4"/>
      <c r="J230" s="4"/>
      <c r="K230" s="4"/>
    </row>
    <row r="231" spans="1:11" s="6" customFormat="1" hidden="1" x14ac:dyDescent="0.3">
      <c r="A231" s="17" t="s">
        <v>300</v>
      </c>
      <c r="B231" s="17" t="s">
        <v>301</v>
      </c>
      <c r="C231" s="12" t="s">
        <v>302</v>
      </c>
      <c r="E231" s="4"/>
      <c r="F231" s="4"/>
      <c r="G231" s="4"/>
      <c r="H231" s="4"/>
      <c r="I231" s="4"/>
      <c r="J231" s="4"/>
      <c r="K231" s="4"/>
    </row>
    <row r="232" spans="1:11" s="6" customFormat="1" hidden="1" x14ac:dyDescent="0.3">
      <c r="A232" s="17" t="s">
        <v>303</v>
      </c>
      <c r="B232" s="17" t="s">
        <v>304</v>
      </c>
      <c r="C232" s="12" t="s">
        <v>305</v>
      </c>
      <c r="E232" s="4"/>
      <c r="F232" s="4"/>
      <c r="G232" s="4"/>
      <c r="H232" s="4"/>
      <c r="I232" s="4"/>
      <c r="J232" s="4"/>
      <c r="K232" s="4"/>
    </row>
    <row r="233" spans="1:11" s="6" customFormat="1" hidden="1" x14ac:dyDescent="0.3">
      <c r="A233" s="17" t="s">
        <v>306</v>
      </c>
      <c r="B233" s="17" t="s">
        <v>307</v>
      </c>
      <c r="C233" s="12" t="s">
        <v>308</v>
      </c>
      <c r="E233" s="4"/>
      <c r="F233" s="4"/>
      <c r="G233" s="4"/>
      <c r="H233" s="4"/>
      <c r="I233" s="4"/>
      <c r="J233" s="4"/>
      <c r="K233" s="4"/>
    </row>
    <row r="234" spans="1:11" s="6" customFormat="1" hidden="1" x14ac:dyDescent="0.3">
      <c r="A234" s="17" t="s">
        <v>309</v>
      </c>
      <c r="B234" s="17" t="s">
        <v>310</v>
      </c>
      <c r="C234" s="12" t="s">
        <v>311</v>
      </c>
      <c r="E234" s="4"/>
      <c r="F234" s="4"/>
      <c r="G234" s="4"/>
      <c r="H234" s="4"/>
      <c r="I234" s="4"/>
      <c r="J234" s="4"/>
      <c r="K234" s="4"/>
    </row>
    <row r="235" spans="1:11" s="6" customFormat="1" hidden="1" x14ac:dyDescent="0.3">
      <c r="A235" s="17" t="s">
        <v>312</v>
      </c>
      <c r="B235" s="17" t="s">
        <v>313</v>
      </c>
      <c r="C235" s="12" t="s">
        <v>314</v>
      </c>
      <c r="E235" s="4"/>
      <c r="F235" s="4"/>
      <c r="G235" s="4"/>
      <c r="H235" s="4"/>
      <c r="I235" s="4"/>
      <c r="J235" s="4"/>
      <c r="K235" s="4"/>
    </row>
    <row r="236" spans="1:11" s="6" customFormat="1" hidden="1" x14ac:dyDescent="0.3">
      <c r="A236" s="17" t="s">
        <v>315</v>
      </c>
      <c r="B236" s="17" t="s">
        <v>316</v>
      </c>
      <c r="C236" s="12" t="s">
        <v>216</v>
      </c>
      <c r="E236" s="4"/>
      <c r="F236" s="4"/>
      <c r="G236" s="4"/>
      <c r="H236" s="4"/>
      <c r="I236" s="4"/>
      <c r="J236" s="4"/>
      <c r="K236" s="4"/>
    </row>
    <row r="237" spans="1:11" s="6" customFormat="1" hidden="1" x14ac:dyDescent="0.3">
      <c r="A237" s="17" t="s">
        <v>317</v>
      </c>
      <c r="B237" s="17" t="s">
        <v>318</v>
      </c>
      <c r="C237" s="12" t="s">
        <v>319</v>
      </c>
      <c r="E237" s="4"/>
      <c r="F237" s="4"/>
      <c r="G237" s="4"/>
      <c r="H237" s="4"/>
      <c r="I237" s="4"/>
      <c r="J237" s="4"/>
      <c r="K237" s="4"/>
    </row>
    <row r="238" spans="1:11" s="6" customFormat="1" hidden="1" x14ac:dyDescent="0.3">
      <c r="A238" s="17" t="s">
        <v>320</v>
      </c>
      <c r="B238" s="17" t="s">
        <v>321</v>
      </c>
      <c r="C238" s="12" t="s">
        <v>236</v>
      </c>
      <c r="E238" s="4"/>
      <c r="F238" s="4"/>
      <c r="G238" s="4"/>
      <c r="H238" s="4"/>
      <c r="I238" s="4"/>
      <c r="J238" s="4"/>
      <c r="K238" s="4"/>
    </row>
    <row r="239" spans="1:11" s="6" customFormat="1" hidden="1" x14ac:dyDescent="0.3">
      <c r="A239" s="17" t="s">
        <v>322</v>
      </c>
      <c r="B239" s="17" t="s">
        <v>323</v>
      </c>
      <c r="C239" s="12" t="s">
        <v>169</v>
      </c>
      <c r="E239" s="4"/>
      <c r="F239" s="4"/>
      <c r="G239" s="4"/>
      <c r="H239" s="4"/>
      <c r="I239" s="4"/>
      <c r="J239" s="4"/>
      <c r="K239" s="4"/>
    </row>
    <row r="240" spans="1:11" s="6" customFormat="1" hidden="1" x14ac:dyDescent="0.3">
      <c r="A240" s="17" t="s">
        <v>324</v>
      </c>
      <c r="B240" s="17" t="s">
        <v>325</v>
      </c>
      <c r="C240" s="12" t="s">
        <v>326</v>
      </c>
      <c r="E240" s="4"/>
      <c r="F240" s="4"/>
      <c r="G240" s="4"/>
      <c r="H240" s="4"/>
      <c r="I240" s="4"/>
      <c r="J240" s="4"/>
      <c r="K240" s="4"/>
    </row>
    <row r="241" spans="1:11" s="6" customFormat="1" hidden="1" x14ac:dyDescent="0.3">
      <c r="A241" s="17" t="s">
        <v>327</v>
      </c>
      <c r="B241" s="17" t="s">
        <v>328</v>
      </c>
      <c r="C241" s="12" t="s">
        <v>216</v>
      </c>
      <c r="E241" s="4"/>
      <c r="F241" s="4"/>
      <c r="G241" s="4"/>
      <c r="H241" s="4"/>
      <c r="I241" s="4"/>
      <c r="J241" s="4"/>
      <c r="K241" s="4"/>
    </row>
    <row r="242" spans="1:11" s="6" customFormat="1" hidden="1" x14ac:dyDescent="0.3">
      <c r="A242" s="17" t="s">
        <v>329</v>
      </c>
      <c r="B242" s="17" t="s">
        <v>330</v>
      </c>
      <c r="C242" s="12" t="s">
        <v>331</v>
      </c>
      <c r="E242" s="4"/>
      <c r="F242" s="4"/>
      <c r="G242" s="4"/>
      <c r="H242" s="4"/>
      <c r="I242" s="4"/>
      <c r="J242" s="4"/>
      <c r="K242" s="4"/>
    </row>
    <row r="243" spans="1:11" s="6" customFormat="1" hidden="1" x14ac:dyDescent="0.3">
      <c r="A243" s="17" t="s">
        <v>332</v>
      </c>
      <c r="B243" s="17" t="s">
        <v>333</v>
      </c>
      <c r="C243" s="12" t="s">
        <v>334</v>
      </c>
      <c r="E243" s="4"/>
      <c r="F243" s="4"/>
      <c r="G243" s="4"/>
      <c r="H243" s="4"/>
      <c r="I243" s="4"/>
      <c r="J243" s="4"/>
      <c r="K243" s="4"/>
    </row>
    <row r="244" spans="1:11" s="6" customFormat="1" hidden="1" x14ac:dyDescent="0.3">
      <c r="A244" s="17" t="s">
        <v>335</v>
      </c>
      <c r="B244" s="17" t="s">
        <v>336</v>
      </c>
      <c r="C244" s="12" t="s">
        <v>244</v>
      </c>
      <c r="E244" s="4"/>
      <c r="F244" s="4"/>
      <c r="G244" s="4"/>
      <c r="H244" s="4"/>
      <c r="I244" s="4"/>
      <c r="J244" s="4"/>
      <c r="K244" s="4"/>
    </row>
    <row r="245" spans="1:11" s="6" customFormat="1" hidden="1" x14ac:dyDescent="0.3">
      <c r="A245" s="17" t="s">
        <v>337</v>
      </c>
      <c r="B245" s="17" t="s">
        <v>338</v>
      </c>
      <c r="C245" s="12" t="s">
        <v>339</v>
      </c>
      <c r="E245" s="4"/>
      <c r="F245" s="4"/>
      <c r="G245" s="4"/>
      <c r="H245" s="4"/>
      <c r="I245" s="4"/>
      <c r="J245" s="4"/>
      <c r="K245" s="4"/>
    </row>
    <row r="246" spans="1:11" s="6" customFormat="1" hidden="1" x14ac:dyDescent="0.3">
      <c r="A246" s="17" t="s">
        <v>340</v>
      </c>
      <c r="B246" s="17" t="s">
        <v>341</v>
      </c>
      <c r="C246" s="12" t="s">
        <v>342</v>
      </c>
      <c r="E246" s="4"/>
      <c r="F246" s="4"/>
      <c r="G246" s="4"/>
      <c r="H246" s="4"/>
      <c r="I246" s="4"/>
      <c r="J246" s="4"/>
      <c r="K246" s="4"/>
    </row>
    <row r="247" spans="1:11" s="6" customFormat="1" hidden="1" x14ac:dyDescent="0.3">
      <c r="A247" s="17" t="s">
        <v>343</v>
      </c>
      <c r="B247" s="17" t="s">
        <v>344</v>
      </c>
      <c r="C247" s="12" t="s">
        <v>345</v>
      </c>
      <c r="E247" s="4"/>
      <c r="F247" s="4"/>
      <c r="G247" s="4"/>
      <c r="H247" s="4"/>
      <c r="I247" s="4"/>
      <c r="J247" s="4"/>
      <c r="K247" s="4"/>
    </row>
    <row r="248" spans="1:11" s="6" customFormat="1" hidden="1" x14ac:dyDescent="0.3">
      <c r="A248" s="17" t="s">
        <v>346</v>
      </c>
      <c r="B248" s="17" t="s">
        <v>347</v>
      </c>
      <c r="C248" s="12" t="s">
        <v>348</v>
      </c>
      <c r="E248" s="4"/>
      <c r="F248" s="4"/>
      <c r="G248" s="4"/>
      <c r="H248" s="4"/>
      <c r="I248" s="4"/>
      <c r="J248" s="4"/>
      <c r="K248" s="4"/>
    </row>
    <row r="249" spans="1:11" s="6" customFormat="1" hidden="1" x14ac:dyDescent="0.3">
      <c r="A249" s="17" t="s">
        <v>349</v>
      </c>
      <c r="B249" s="17" t="s">
        <v>350</v>
      </c>
      <c r="C249" s="12" t="s">
        <v>351</v>
      </c>
      <c r="E249" s="4"/>
      <c r="F249" s="4"/>
      <c r="G249" s="4"/>
      <c r="H249" s="4"/>
      <c r="I249" s="4"/>
      <c r="J249" s="4"/>
      <c r="K249" s="4"/>
    </row>
    <row r="250" spans="1:11" s="6" customFormat="1" hidden="1" x14ac:dyDescent="0.3">
      <c r="A250" s="17" t="s">
        <v>352</v>
      </c>
      <c r="B250" s="17" t="s">
        <v>353</v>
      </c>
      <c r="C250" s="12" t="s">
        <v>147</v>
      </c>
      <c r="E250" s="4"/>
      <c r="F250" s="4"/>
      <c r="G250" s="4"/>
      <c r="H250" s="4"/>
      <c r="I250" s="4"/>
      <c r="J250" s="4"/>
      <c r="K250" s="4"/>
    </row>
    <row r="251" spans="1:11" s="6" customFormat="1" hidden="1" x14ac:dyDescent="0.3">
      <c r="A251" s="17" t="s">
        <v>614</v>
      </c>
      <c r="B251" s="17" t="s">
        <v>618</v>
      </c>
      <c r="C251" s="12" t="s">
        <v>622</v>
      </c>
      <c r="E251" s="4"/>
      <c r="F251" s="4"/>
      <c r="G251" s="4"/>
      <c r="H251" s="4"/>
      <c r="I251" s="4"/>
      <c r="J251" s="4"/>
      <c r="K251" s="4"/>
    </row>
    <row r="252" spans="1:11" s="6" customFormat="1" hidden="1" x14ac:dyDescent="0.3">
      <c r="A252" s="17" t="s">
        <v>615</v>
      </c>
      <c r="B252" s="17" t="s">
        <v>619</v>
      </c>
      <c r="C252" s="12" t="s">
        <v>283</v>
      </c>
      <c r="E252" s="4"/>
      <c r="F252" s="4"/>
      <c r="G252" s="4"/>
      <c r="H252" s="4"/>
      <c r="I252" s="4"/>
      <c r="J252" s="4"/>
      <c r="K252" s="4"/>
    </row>
    <row r="253" spans="1:11" s="6" customFormat="1" hidden="1" x14ac:dyDescent="0.3">
      <c r="A253" s="17" t="s">
        <v>616</v>
      </c>
      <c r="B253" s="17" t="s">
        <v>620</v>
      </c>
      <c r="C253" s="12" t="s">
        <v>359</v>
      </c>
      <c r="E253" s="4"/>
      <c r="F253" s="4"/>
      <c r="G253" s="4"/>
      <c r="H253" s="4"/>
      <c r="I253" s="4"/>
      <c r="J253" s="4"/>
      <c r="K253" s="4"/>
    </row>
    <row r="254" spans="1:11" s="6" customFormat="1" hidden="1" x14ac:dyDescent="0.3">
      <c r="A254" s="17" t="s">
        <v>648</v>
      </c>
      <c r="B254" s="17" t="s">
        <v>686</v>
      </c>
      <c r="C254" s="12" t="s">
        <v>365</v>
      </c>
      <c r="E254" s="4"/>
      <c r="F254" s="4"/>
      <c r="G254" s="4"/>
      <c r="H254" s="4"/>
      <c r="I254" s="4"/>
      <c r="J254" s="4"/>
      <c r="K254" s="4"/>
    </row>
    <row r="255" spans="1:11" s="6" customFormat="1" hidden="1" x14ac:dyDescent="0.3">
      <c r="A255" s="17" t="s">
        <v>649</v>
      </c>
      <c r="B255" s="17" t="s">
        <v>687</v>
      </c>
      <c r="C255" s="12" t="s">
        <v>365</v>
      </c>
      <c r="E255" s="4"/>
      <c r="F255" s="4"/>
      <c r="G255" s="4"/>
      <c r="H255" s="4"/>
      <c r="I255" s="4"/>
      <c r="J255" s="4"/>
      <c r="K255" s="4"/>
    </row>
    <row r="256" spans="1:11" s="6" customFormat="1" hidden="1" x14ac:dyDescent="0.3">
      <c r="A256" s="17" t="s">
        <v>650</v>
      </c>
      <c r="B256" s="17" t="s">
        <v>688</v>
      </c>
      <c r="C256" s="12" t="s">
        <v>216</v>
      </c>
      <c r="E256" s="4"/>
      <c r="F256" s="4"/>
      <c r="G256" s="4"/>
      <c r="H256" s="4"/>
      <c r="I256" s="4"/>
      <c r="J256" s="4"/>
      <c r="K256" s="4"/>
    </row>
    <row r="257" spans="1:11" s="6" customFormat="1" hidden="1" x14ac:dyDescent="0.3">
      <c r="A257" s="17" t="s">
        <v>651</v>
      </c>
      <c r="B257" s="17" t="s">
        <v>689</v>
      </c>
      <c r="C257" s="12" t="s">
        <v>216</v>
      </c>
      <c r="E257" s="4"/>
      <c r="F257" s="4"/>
      <c r="G257" s="4"/>
      <c r="H257" s="4"/>
      <c r="I257" s="4"/>
      <c r="J257" s="4"/>
      <c r="K257" s="4"/>
    </row>
    <row r="258" spans="1:11" s="6" customFormat="1" hidden="1" x14ac:dyDescent="0.3">
      <c r="A258" s="17" t="s">
        <v>727</v>
      </c>
      <c r="B258" s="17" t="s">
        <v>726</v>
      </c>
      <c r="C258" s="12"/>
      <c r="E258" s="4"/>
      <c r="F258" s="4"/>
      <c r="G258" s="4"/>
      <c r="H258" s="4"/>
      <c r="I258" s="4"/>
      <c r="J258" s="4"/>
      <c r="K258" s="4"/>
    </row>
    <row r="259" spans="1:11" s="6" customFormat="1" hidden="1" x14ac:dyDescent="0.3">
      <c r="A259" s="17" t="s">
        <v>728</v>
      </c>
      <c r="B259" s="17" t="s">
        <v>729</v>
      </c>
      <c r="C259" s="12"/>
      <c r="E259" s="4"/>
      <c r="F259" s="4"/>
      <c r="G259" s="4"/>
      <c r="H259" s="4"/>
      <c r="I259" s="4"/>
      <c r="J259" s="4"/>
      <c r="K259" s="4"/>
    </row>
    <row r="260" spans="1:11" s="6" customFormat="1" hidden="1" x14ac:dyDescent="0.3">
      <c r="A260" s="17" t="s">
        <v>730</v>
      </c>
      <c r="B260" s="17" t="s">
        <v>731</v>
      </c>
      <c r="C260" s="12"/>
      <c r="E260" s="4"/>
      <c r="F260" s="4"/>
      <c r="G260" s="4"/>
      <c r="H260" s="4"/>
      <c r="I260" s="4"/>
      <c r="J260" s="4"/>
      <c r="K260" s="4"/>
    </row>
    <row r="261" spans="1:11" s="6" customFormat="1" hidden="1" x14ac:dyDescent="0.3">
      <c r="A261" s="17" t="s">
        <v>732</v>
      </c>
      <c r="B261" s="17" t="s">
        <v>733</v>
      </c>
      <c r="C261" s="12"/>
      <c r="E261" s="4"/>
      <c r="F261" s="4"/>
      <c r="G261" s="4"/>
      <c r="H261" s="4"/>
      <c r="I261" s="4"/>
      <c r="J261" s="4"/>
      <c r="K261" s="4"/>
    </row>
    <row r="262" spans="1:11" s="6" customFormat="1" hidden="1" x14ac:dyDescent="0.3">
      <c r="A262" s="17" t="s">
        <v>734</v>
      </c>
      <c r="B262" s="17" t="s">
        <v>735</v>
      </c>
      <c r="C262" s="12"/>
      <c r="E262" s="4"/>
      <c r="F262" s="4"/>
      <c r="G262" s="4"/>
      <c r="H262" s="4"/>
      <c r="I262" s="4"/>
      <c r="J262" s="4"/>
      <c r="K262" s="4"/>
    </row>
    <row r="263" spans="1:11" s="6" customFormat="1" hidden="1" x14ac:dyDescent="0.3">
      <c r="A263" s="17" t="s">
        <v>617</v>
      </c>
      <c r="B263" s="17" t="s">
        <v>621</v>
      </c>
      <c r="C263" s="12" t="s">
        <v>359</v>
      </c>
      <c r="E263" s="4"/>
      <c r="F263" s="4"/>
      <c r="G263" s="4"/>
      <c r="H263" s="4"/>
      <c r="I263" s="4"/>
      <c r="J263" s="4"/>
      <c r="K263" s="4"/>
    </row>
    <row r="264" spans="1:11" s="6" customFormat="1" hidden="1" x14ac:dyDescent="0.3">
      <c r="A264" s="17" t="s">
        <v>354</v>
      </c>
      <c r="B264" s="17" t="s">
        <v>355</v>
      </c>
      <c r="C264" s="12" t="s">
        <v>356</v>
      </c>
      <c r="E264" s="4"/>
      <c r="F264" s="4"/>
      <c r="G264" s="4"/>
      <c r="H264" s="4"/>
      <c r="I264" s="4"/>
      <c r="J264" s="4"/>
      <c r="K264" s="4"/>
    </row>
    <row r="265" spans="1:11" s="6" customFormat="1" hidden="1" x14ac:dyDescent="0.3">
      <c r="A265" s="17" t="s">
        <v>357</v>
      </c>
      <c r="B265" s="17" t="s">
        <v>358</v>
      </c>
      <c r="C265" s="12" t="s">
        <v>359</v>
      </c>
      <c r="E265" s="4"/>
      <c r="F265" s="4"/>
      <c r="G265" s="4"/>
      <c r="H265" s="4"/>
      <c r="I265" s="4"/>
      <c r="J265" s="4"/>
      <c r="K265" s="4"/>
    </row>
    <row r="266" spans="1:11" s="6" customFormat="1" hidden="1" x14ac:dyDescent="0.3">
      <c r="A266" s="17" t="s">
        <v>360</v>
      </c>
      <c r="B266" s="17" t="s">
        <v>361</v>
      </c>
      <c r="C266" s="12" t="s">
        <v>361</v>
      </c>
      <c r="E266" s="4"/>
      <c r="F266" s="4"/>
      <c r="G266" s="4"/>
      <c r="H266" s="4"/>
      <c r="I266" s="4"/>
      <c r="J266" s="4"/>
      <c r="K266" s="4"/>
    </row>
    <row r="267" spans="1:11" s="6" customFormat="1" hidden="1" x14ac:dyDescent="0.3">
      <c r="A267" s="17" t="s">
        <v>362</v>
      </c>
      <c r="B267" s="17" t="s">
        <v>363</v>
      </c>
      <c r="C267" s="12" t="s">
        <v>363</v>
      </c>
      <c r="E267" s="4"/>
      <c r="F267" s="4"/>
      <c r="G267" s="4"/>
      <c r="H267" s="4"/>
      <c r="I267" s="4"/>
      <c r="J267" s="4"/>
      <c r="K267" s="4"/>
    </row>
    <row r="268" spans="1:11" s="6" customFormat="1" hidden="1" x14ac:dyDescent="0.3">
      <c r="A268" s="17" t="s">
        <v>364</v>
      </c>
      <c r="B268" s="17" t="s">
        <v>365</v>
      </c>
      <c r="C268" s="12" t="s">
        <v>365</v>
      </c>
      <c r="E268" s="4"/>
      <c r="F268" s="4"/>
      <c r="G268" s="4"/>
      <c r="H268" s="4"/>
      <c r="I268" s="4"/>
      <c r="J268" s="4"/>
      <c r="K268" s="4"/>
    </row>
    <row r="269" spans="1:11" s="6" customFormat="1" hidden="1" x14ac:dyDescent="0.3">
      <c r="A269" s="17" t="s">
        <v>366</v>
      </c>
      <c r="B269" s="17" t="s">
        <v>367</v>
      </c>
      <c r="C269" s="12" t="s">
        <v>367</v>
      </c>
      <c r="E269" s="4"/>
      <c r="F269" s="4"/>
      <c r="G269" s="4"/>
      <c r="H269" s="4"/>
      <c r="I269" s="4"/>
      <c r="J269" s="4"/>
      <c r="K269" s="4"/>
    </row>
    <row r="270" spans="1:11" s="6" customFormat="1" hidden="1" x14ac:dyDescent="0.3">
      <c r="A270" s="17" t="s">
        <v>368</v>
      </c>
      <c r="B270" s="17" t="s">
        <v>369</v>
      </c>
      <c r="C270" s="12" t="s">
        <v>369</v>
      </c>
      <c r="E270" s="4"/>
      <c r="F270" s="4"/>
      <c r="G270" s="4"/>
      <c r="H270" s="4"/>
      <c r="I270" s="4"/>
      <c r="J270" s="4"/>
      <c r="K270" s="4"/>
    </row>
    <row r="271" spans="1:11" s="6" customFormat="1" hidden="1" x14ac:dyDescent="0.3">
      <c r="A271" s="17" t="s">
        <v>370</v>
      </c>
      <c r="B271" s="17" t="s">
        <v>371</v>
      </c>
      <c r="C271" s="12" t="s">
        <v>371</v>
      </c>
      <c r="E271" s="4"/>
      <c r="F271" s="4"/>
      <c r="G271" s="4"/>
      <c r="H271" s="4"/>
      <c r="I271" s="4"/>
      <c r="J271" s="4"/>
      <c r="K271" s="4"/>
    </row>
    <row r="272" spans="1:11" s="6" customFormat="1" hidden="1" x14ac:dyDescent="0.3">
      <c r="A272" s="17" t="s">
        <v>372</v>
      </c>
      <c r="B272" s="17" t="s">
        <v>373</v>
      </c>
      <c r="C272" s="12" t="s">
        <v>373</v>
      </c>
      <c r="E272" s="4"/>
      <c r="F272" s="4"/>
      <c r="G272" s="4"/>
      <c r="H272" s="4"/>
      <c r="I272" s="4"/>
      <c r="J272" s="4"/>
      <c r="K272" s="4"/>
    </row>
    <row r="273" spans="1:11" s="6" customFormat="1" hidden="1" x14ac:dyDescent="0.3">
      <c r="A273" s="17" t="s">
        <v>374</v>
      </c>
      <c r="B273" s="17" t="s">
        <v>375</v>
      </c>
      <c r="C273" s="12" t="s">
        <v>375</v>
      </c>
      <c r="E273" s="4"/>
      <c r="F273" s="4"/>
      <c r="G273" s="4"/>
      <c r="H273" s="4"/>
      <c r="I273" s="4"/>
      <c r="J273" s="4"/>
      <c r="K273" s="4"/>
    </row>
    <row r="274" spans="1:11" s="6" customFormat="1" hidden="1" x14ac:dyDescent="0.3">
      <c r="A274" s="17" t="s">
        <v>376</v>
      </c>
      <c r="B274" s="17" t="s">
        <v>377</v>
      </c>
      <c r="C274" s="12" t="s">
        <v>377</v>
      </c>
      <c r="E274" s="4"/>
      <c r="F274" s="4"/>
      <c r="G274" s="4"/>
      <c r="H274" s="4"/>
      <c r="I274" s="4"/>
      <c r="J274" s="4"/>
      <c r="K274" s="4"/>
    </row>
    <row r="275" spans="1:11" s="6" customFormat="1" hidden="1" x14ac:dyDescent="0.3">
      <c r="A275" s="17" t="s">
        <v>378</v>
      </c>
      <c r="B275" s="17" t="s">
        <v>379</v>
      </c>
      <c r="C275" s="12" t="s">
        <v>379</v>
      </c>
      <c r="E275" s="4"/>
      <c r="F275" s="4"/>
      <c r="G275" s="4"/>
      <c r="H275" s="4"/>
      <c r="I275" s="4"/>
      <c r="J275" s="4"/>
      <c r="K275" s="4"/>
    </row>
    <row r="276" spans="1:11" s="6" customFormat="1" hidden="1" x14ac:dyDescent="0.3">
      <c r="A276" s="17" t="s">
        <v>380</v>
      </c>
      <c r="B276" s="17" t="s">
        <v>381</v>
      </c>
      <c r="C276" s="12" t="s">
        <v>381</v>
      </c>
      <c r="E276" s="4"/>
      <c r="F276" s="4"/>
      <c r="G276" s="4"/>
      <c r="H276" s="4"/>
      <c r="I276" s="4"/>
      <c r="J276" s="4"/>
      <c r="K276" s="4"/>
    </row>
    <row r="277" spans="1:11" s="6" customFormat="1" hidden="1" x14ac:dyDescent="0.3">
      <c r="A277" s="17" t="s">
        <v>382</v>
      </c>
      <c r="B277" s="17" t="s">
        <v>383</v>
      </c>
      <c r="C277" s="12" t="s">
        <v>383</v>
      </c>
      <c r="E277" s="4"/>
      <c r="F277" s="4"/>
      <c r="G277" s="4"/>
      <c r="H277" s="4"/>
      <c r="I277" s="4"/>
      <c r="J277" s="4"/>
      <c r="K277" s="4"/>
    </row>
    <row r="278" spans="1:11" s="6" customFormat="1" hidden="1" x14ac:dyDescent="0.3">
      <c r="A278" s="17" t="s">
        <v>384</v>
      </c>
      <c r="B278" s="17" t="s">
        <v>385</v>
      </c>
      <c r="C278" s="12" t="s">
        <v>385</v>
      </c>
      <c r="E278" s="4"/>
      <c r="F278" s="4"/>
      <c r="G278" s="4"/>
      <c r="H278" s="4"/>
      <c r="I278" s="4"/>
      <c r="J278" s="4"/>
      <c r="K278" s="4"/>
    </row>
    <row r="279" spans="1:11" s="6" customFormat="1" hidden="1" x14ac:dyDescent="0.3">
      <c r="A279" s="17" t="s">
        <v>386</v>
      </c>
      <c r="B279" s="17" t="s">
        <v>387</v>
      </c>
      <c r="C279" s="12" t="s">
        <v>387</v>
      </c>
      <c r="E279" s="4"/>
      <c r="F279" s="4"/>
      <c r="G279" s="4"/>
      <c r="H279" s="4"/>
      <c r="I279" s="4"/>
      <c r="J279" s="4"/>
      <c r="K279" s="4"/>
    </row>
    <row r="280" spans="1:11" s="6" customFormat="1" hidden="1" x14ac:dyDescent="0.3">
      <c r="A280" s="17" t="s">
        <v>388</v>
      </c>
      <c r="B280" s="17" t="s">
        <v>389</v>
      </c>
      <c r="C280" s="12" t="s">
        <v>389</v>
      </c>
      <c r="E280" s="4"/>
      <c r="F280" s="4"/>
      <c r="G280" s="4"/>
      <c r="H280" s="4"/>
      <c r="I280" s="4"/>
      <c r="J280" s="4"/>
      <c r="K280" s="4"/>
    </row>
    <row r="281" spans="1:11" s="6" customFormat="1" hidden="1" x14ac:dyDescent="0.3">
      <c r="A281" s="17" t="s">
        <v>390</v>
      </c>
      <c r="B281" s="17" t="s">
        <v>391</v>
      </c>
      <c r="C281" s="12" t="s">
        <v>391</v>
      </c>
      <c r="E281" s="4"/>
      <c r="F281" s="4"/>
      <c r="G281" s="4"/>
      <c r="H281" s="4"/>
      <c r="I281" s="4"/>
      <c r="J281" s="4"/>
      <c r="K281" s="4"/>
    </row>
    <row r="282" spans="1:11" s="6" customFormat="1" hidden="1" x14ac:dyDescent="0.3">
      <c r="A282" s="17" t="s">
        <v>392</v>
      </c>
      <c r="B282" s="17" t="s">
        <v>393</v>
      </c>
      <c r="C282" s="12" t="s">
        <v>393</v>
      </c>
      <c r="E282" s="4"/>
      <c r="F282" s="4"/>
      <c r="G282" s="4"/>
      <c r="H282" s="4"/>
      <c r="I282" s="4"/>
      <c r="J282" s="4"/>
      <c r="K282" s="4"/>
    </row>
    <row r="283" spans="1:11" s="6" customFormat="1" hidden="1" x14ac:dyDescent="0.3">
      <c r="A283" s="17" t="s">
        <v>394</v>
      </c>
      <c r="B283" s="17" t="s">
        <v>395</v>
      </c>
      <c r="C283" s="12" t="s">
        <v>395</v>
      </c>
      <c r="E283" s="4"/>
      <c r="F283" s="4"/>
      <c r="G283" s="4"/>
      <c r="H283" s="4"/>
      <c r="I283" s="4"/>
      <c r="J283" s="4"/>
      <c r="K283" s="4"/>
    </row>
    <row r="284" spans="1:11" s="6" customFormat="1" hidden="1" x14ac:dyDescent="0.3">
      <c r="A284" s="17" t="s">
        <v>396</v>
      </c>
      <c r="B284" s="17" t="s">
        <v>397</v>
      </c>
      <c r="C284" s="12" t="s">
        <v>397</v>
      </c>
      <c r="E284" s="4"/>
      <c r="F284" s="4"/>
      <c r="G284" s="4"/>
      <c r="H284" s="4"/>
      <c r="I284" s="4"/>
      <c r="J284" s="4"/>
      <c r="K284" s="4"/>
    </row>
    <row r="285" spans="1:11" s="6" customFormat="1" hidden="1" x14ac:dyDescent="0.3">
      <c r="A285" s="17" t="s">
        <v>398</v>
      </c>
      <c r="B285" s="17" t="s">
        <v>399</v>
      </c>
      <c r="C285" s="12" t="s">
        <v>399</v>
      </c>
      <c r="E285" s="4"/>
      <c r="F285" s="4"/>
      <c r="G285" s="4"/>
      <c r="H285" s="4"/>
      <c r="I285" s="4"/>
      <c r="J285" s="4"/>
      <c r="K285" s="4"/>
    </row>
    <row r="286" spans="1:11" s="6" customFormat="1" hidden="1" x14ac:dyDescent="0.3">
      <c r="A286" s="17" t="s">
        <v>400</v>
      </c>
      <c r="B286" s="17" t="s">
        <v>401</v>
      </c>
      <c r="C286" s="12" t="s">
        <v>401</v>
      </c>
      <c r="E286" s="4"/>
      <c r="F286" s="4"/>
      <c r="G286" s="4"/>
      <c r="H286" s="4"/>
      <c r="I286" s="4"/>
      <c r="J286" s="4"/>
      <c r="K286" s="4"/>
    </row>
    <row r="287" spans="1:11" s="6" customFormat="1" hidden="1" x14ac:dyDescent="0.3">
      <c r="A287" s="17" t="s">
        <v>402</v>
      </c>
      <c r="B287" s="17" t="s">
        <v>403</v>
      </c>
      <c r="C287" s="12" t="s">
        <v>403</v>
      </c>
      <c r="E287" s="4"/>
      <c r="F287" s="4"/>
      <c r="G287" s="4"/>
      <c r="H287" s="4"/>
      <c r="I287" s="4"/>
      <c r="J287" s="4"/>
      <c r="K287" s="4"/>
    </row>
    <row r="288" spans="1:11" s="6" customFormat="1" hidden="1" x14ac:dyDescent="0.3">
      <c r="A288" s="17" t="s">
        <v>404</v>
      </c>
      <c r="B288" s="17" t="s">
        <v>405</v>
      </c>
      <c r="C288" s="12" t="s">
        <v>405</v>
      </c>
      <c r="E288" s="4"/>
      <c r="F288" s="4"/>
      <c r="G288" s="4"/>
      <c r="H288" s="4"/>
      <c r="I288" s="4"/>
      <c r="J288" s="4"/>
      <c r="K288" s="4"/>
    </row>
    <row r="289" spans="1:11" s="6" customFormat="1" hidden="1" x14ac:dyDescent="0.3">
      <c r="A289" s="17" t="s">
        <v>406</v>
      </c>
      <c r="B289" s="17" t="s">
        <v>407</v>
      </c>
      <c r="C289" s="12" t="s">
        <v>407</v>
      </c>
      <c r="E289" s="4"/>
      <c r="F289" s="4"/>
      <c r="G289" s="4"/>
      <c r="H289" s="4"/>
      <c r="I289" s="4"/>
      <c r="J289" s="4"/>
      <c r="K289" s="4"/>
    </row>
    <row r="290" spans="1:11" s="6" customFormat="1" hidden="1" x14ac:dyDescent="0.3">
      <c r="A290" s="17" t="s">
        <v>613</v>
      </c>
      <c r="B290" s="17" t="s">
        <v>407</v>
      </c>
      <c r="C290" s="12"/>
      <c r="E290" s="4"/>
      <c r="F290" s="4"/>
      <c r="G290" s="4"/>
      <c r="H290" s="4"/>
      <c r="I290" s="4"/>
      <c r="J290" s="4"/>
      <c r="K290" s="4"/>
    </row>
    <row r="291" spans="1:11" s="6" customFormat="1" hidden="1" x14ac:dyDescent="0.3">
      <c r="A291" s="17" t="s">
        <v>736</v>
      </c>
      <c r="B291" s="17" t="s">
        <v>737</v>
      </c>
      <c r="C291" s="12"/>
      <c r="E291" s="4"/>
      <c r="F291" s="4"/>
      <c r="G291" s="4"/>
      <c r="H291" s="4"/>
      <c r="I291" s="4"/>
      <c r="J291" s="4"/>
      <c r="K291" s="4"/>
    </row>
    <row r="292" spans="1:11" s="12" customFormat="1" hidden="1" x14ac:dyDescent="0.3">
      <c r="A292" s="17" t="s">
        <v>408</v>
      </c>
      <c r="B292" s="17" t="s">
        <v>409</v>
      </c>
      <c r="D292" s="6"/>
      <c r="E292" s="4"/>
      <c r="F292" s="4"/>
      <c r="G292" s="4"/>
      <c r="H292" s="4"/>
      <c r="I292" s="4"/>
      <c r="J292" s="4"/>
      <c r="K292" s="4"/>
    </row>
    <row r="293" spans="1:11" s="12" customFormat="1" hidden="1" x14ac:dyDescent="0.3">
      <c r="A293" s="17" t="s">
        <v>410</v>
      </c>
      <c r="B293" s="17" t="s">
        <v>411</v>
      </c>
      <c r="D293" s="6"/>
      <c r="E293" s="4"/>
      <c r="F293" s="4"/>
      <c r="G293" s="4"/>
      <c r="H293" s="4"/>
      <c r="I293" s="4"/>
      <c r="J293" s="4"/>
      <c r="K293" s="4"/>
    </row>
    <row r="294" spans="1:11" s="12" customFormat="1" hidden="1" x14ac:dyDescent="0.3">
      <c r="A294" s="17" t="s">
        <v>412</v>
      </c>
      <c r="B294" s="17" t="s">
        <v>413</v>
      </c>
      <c r="D294" s="6"/>
      <c r="E294" s="4"/>
      <c r="F294" s="4"/>
      <c r="G294" s="4"/>
      <c r="H294" s="4"/>
      <c r="I294" s="4"/>
      <c r="J294" s="4"/>
      <c r="K294" s="4"/>
    </row>
    <row r="295" spans="1:11" s="12" customFormat="1" hidden="1" x14ac:dyDescent="0.3">
      <c r="A295" s="17" t="s">
        <v>414</v>
      </c>
      <c r="B295" s="17" t="s">
        <v>415</v>
      </c>
      <c r="D295" s="6"/>
      <c r="E295" s="4"/>
      <c r="F295" s="4"/>
      <c r="G295" s="4"/>
      <c r="H295" s="4"/>
      <c r="I295" s="4"/>
      <c r="J295" s="4"/>
      <c r="K295" s="4"/>
    </row>
    <row r="296" spans="1:11" s="12" customFormat="1" hidden="1" x14ac:dyDescent="0.3">
      <c r="A296" s="17" t="s">
        <v>416</v>
      </c>
      <c r="B296" s="17" t="s">
        <v>417</v>
      </c>
      <c r="D296" s="6"/>
      <c r="E296" s="4"/>
      <c r="F296" s="4"/>
      <c r="G296" s="4"/>
      <c r="H296" s="4"/>
      <c r="I296" s="4"/>
      <c r="J296" s="4"/>
      <c r="K296" s="4"/>
    </row>
    <row r="297" spans="1:11" s="12" customFormat="1" hidden="1" x14ac:dyDescent="0.3">
      <c r="A297" s="17" t="s">
        <v>418</v>
      </c>
      <c r="B297" s="17" t="s">
        <v>419</v>
      </c>
      <c r="D297" s="6"/>
      <c r="E297" s="4"/>
      <c r="F297" s="4"/>
      <c r="G297" s="4"/>
      <c r="H297" s="4"/>
      <c r="I297" s="4"/>
      <c r="J297" s="4"/>
      <c r="K297" s="4"/>
    </row>
    <row r="298" spans="1:11" s="12" customFormat="1" hidden="1" x14ac:dyDescent="0.3">
      <c r="A298" s="17" t="s">
        <v>420</v>
      </c>
      <c r="B298" s="17" t="s">
        <v>421</v>
      </c>
      <c r="D298" s="6"/>
      <c r="E298" s="4"/>
      <c r="F298" s="4"/>
      <c r="G298" s="4"/>
      <c r="H298" s="4"/>
      <c r="I298" s="4"/>
      <c r="J298" s="4"/>
      <c r="K298" s="4"/>
    </row>
    <row r="299" spans="1:11" s="12" customFormat="1" hidden="1" x14ac:dyDescent="0.3">
      <c r="A299" s="17" t="s">
        <v>422</v>
      </c>
      <c r="B299" s="17" t="s">
        <v>423</v>
      </c>
      <c r="D299" s="6"/>
      <c r="E299" s="4"/>
      <c r="F299" s="4"/>
      <c r="G299" s="4"/>
      <c r="H299" s="4"/>
      <c r="I299" s="4"/>
      <c r="J299" s="4"/>
      <c r="K299" s="4"/>
    </row>
    <row r="300" spans="1:11" s="12" customFormat="1" hidden="1" x14ac:dyDescent="0.3">
      <c r="A300" s="17" t="s">
        <v>424</v>
      </c>
      <c r="B300" s="17" t="s">
        <v>425</v>
      </c>
      <c r="D300" s="6"/>
      <c r="E300" s="4"/>
      <c r="F300" s="4"/>
      <c r="G300" s="4"/>
      <c r="H300" s="4"/>
      <c r="I300" s="4"/>
      <c r="J300" s="4"/>
      <c r="K300" s="4"/>
    </row>
    <row r="301" spans="1:11" s="12" customFormat="1" hidden="1" x14ac:dyDescent="0.3">
      <c r="A301" s="17" t="s">
        <v>426</v>
      </c>
      <c r="B301" s="17" t="s">
        <v>427</v>
      </c>
      <c r="D301" s="6"/>
      <c r="E301" s="4"/>
      <c r="F301" s="4"/>
      <c r="G301" s="4"/>
      <c r="H301" s="4"/>
      <c r="I301" s="4"/>
      <c r="J301" s="4"/>
      <c r="K301" s="4"/>
    </row>
    <row r="302" spans="1:11" s="12" customFormat="1" hidden="1" x14ac:dyDescent="0.3">
      <c r="A302" s="17" t="s">
        <v>428</v>
      </c>
      <c r="B302" s="17" t="s">
        <v>429</v>
      </c>
      <c r="D302" s="6"/>
      <c r="E302" s="4"/>
      <c r="F302" s="4"/>
      <c r="G302" s="4"/>
      <c r="H302" s="4"/>
      <c r="I302" s="4"/>
      <c r="J302" s="4"/>
      <c r="K302" s="4"/>
    </row>
    <row r="303" spans="1:11" s="12" customFormat="1" hidden="1" x14ac:dyDescent="0.3">
      <c r="A303" s="17" t="s">
        <v>430</v>
      </c>
      <c r="B303" s="17" t="s">
        <v>431</v>
      </c>
      <c r="D303" s="6"/>
      <c r="E303" s="4"/>
      <c r="F303" s="4"/>
      <c r="G303" s="4"/>
      <c r="H303" s="4"/>
      <c r="I303" s="4"/>
      <c r="J303" s="4"/>
      <c r="K303" s="4"/>
    </row>
    <row r="304" spans="1:11" s="12" customFormat="1" hidden="1" x14ac:dyDescent="0.3">
      <c r="A304" s="17" t="s">
        <v>432</v>
      </c>
      <c r="B304" s="17" t="s">
        <v>433</v>
      </c>
      <c r="D304" s="6"/>
      <c r="E304" s="4"/>
      <c r="F304" s="4"/>
      <c r="G304" s="4"/>
      <c r="H304" s="4"/>
      <c r="I304" s="4"/>
      <c r="J304" s="4"/>
      <c r="K304" s="4"/>
    </row>
    <row r="305" spans="1:11" s="12" customFormat="1" hidden="1" x14ac:dyDescent="0.3">
      <c r="A305" s="17" t="s">
        <v>434</v>
      </c>
      <c r="B305" s="17" t="s">
        <v>435</v>
      </c>
      <c r="D305" s="6"/>
      <c r="E305" s="4"/>
      <c r="F305" s="4"/>
      <c r="G305" s="4"/>
      <c r="H305" s="4"/>
      <c r="I305" s="4"/>
      <c r="J305" s="4"/>
      <c r="K305" s="4"/>
    </row>
    <row r="306" spans="1:11" s="12" customFormat="1" hidden="1" x14ac:dyDescent="0.3">
      <c r="A306" s="17" t="s">
        <v>436</v>
      </c>
      <c r="B306" s="17" t="s">
        <v>437</v>
      </c>
      <c r="D306" s="6"/>
      <c r="E306" s="4"/>
      <c r="F306" s="4"/>
      <c r="G306" s="4"/>
      <c r="H306" s="4"/>
      <c r="I306" s="4"/>
      <c r="J306" s="4"/>
      <c r="K306" s="4"/>
    </row>
    <row r="307" spans="1:11" s="12" customFormat="1" hidden="1" x14ac:dyDescent="0.3">
      <c r="A307" s="17" t="s">
        <v>438</v>
      </c>
      <c r="B307" s="17" t="s">
        <v>439</v>
      </c>
      <c r="D307" s="6"/>
      <c r="E307" s="4"/>
      <c r="F307" s="4"/>
      <c r="G307" s="4"/>
      <c r="H307" s="4"/>
      <c r="I307" s="4"/>
      <c r="J307" s="4"/>
      <c r="K307" s="4"/>
    </row>
    <row r="308" spans="1:11" s="12" customFormat="1" hidden="1" x14ac:dyDescent="0.3">
      <c r="A308" s="17" t="s">
        <v>440</v>
      </c>
      <c r="B308" s="17" t="s">
        <v>441</v>
      </c>
      <c r="D308" s="6"/>
      <c r="E308" s="4"/>
      <c r="F308" s="4"/>
      <c r="G308" s="4"/>
      <c r="H308" s="4"/>
      <c r="I308" s="4"/>
      <c r="J308" s="4"/>
      <c r="K308" s="4"/>
    </row>
    <row r="309" spans="1:11" s="12" customFormat="1" hidden="1" x14ac:dyDescent="0.3">
      <c r="A309" s="17" t="s">
        <v>442</v>
      </c>
      <c r="B309" s="17" t="s">
        <v>443</v>
      </c>
      <c r="D309" s="6"/>
      <c r="E309" s="4"/>
      <c r="F309" s="4"/>
      <c r="G309" s="4"/>
      <c r="H309" s="4"/>
      <c r="I309" s="4"/>
      <c r="J309" s="4"/>
      <c r="K309" s="4"/>
    </row>
    <row r="310" spans="1:11" s="12" customFormat="1" hidden="1" x14ac:dyDescent="0.3">
      <c r="A310" s="17" t="s">
        <v>444</v>
      </c>
      <c r="B310" s="17" t="s">
        <v>445</v>
      </c>
      <c r="D310" s="6"/>
      <c r="E310" s="4"/>
      <c r="F310" s="4"/>
      <c r="G310" s="4"/>
      <c r="H310" s="4"/>
      <c r="I310" s="4"/>
      <c r="J310" s="4"/>
      <c r="K310" s="4"/>
    </row>
    <row r="311" spans="1:11" s="12" customFormat="1" hidden="1" x14ac:dyDescent="0.3">
      <c r="A311" s="17" t="s">
        <v>446</v>
      </c>
      <c r="B311" s="17" t="s">
        <v>447</v>
      </c>
      <c r="D311" s="6"/>
      <c r="E311" s="4"/>
      <c r="F311" s="4"/>
      <c r="G311" s="4"/>
      <c r="H311" s="4"/>
      <c r="I311" s="4"/>
      <c r="J311" s="4"/>
      <c r="K311" s="4"/>
    </row>
    <row r="312" spans="1:11" s="12" customFormat="1" hidden="1" x14ac:dyDescent="0.3">
      <c r="A312" s="17" t="s">
        <v>448</v>
      </c>
      <c r="B312" s="17" t="s">
        <v>449</v>
      </c>
      <c r="D312" s="6"/>
      <c r="E312" s="4"/>
      <c r="F312" s="4"/>
      <c r="G312" s="4"/>
      <c r="H312" s="4"/>
      <c r="I312" s="4"/>
      <c r="J312" s="4"/>
      <c r="K312" s="4"/>
    </row>
    <row r="313" spans="1:11" s="12" customFormat="1" hidden="1" x14ac:dyDescent="0.3">
      <c r="A313" s="17" t="s">
        <v>450</v>
      </c>
      <c r="B313" s="17" t="s">
        <v>451</v>
      </c>
      <c r="D313" s="6"/>
      <c r="E313" s="4"/>
      <c r="F313" s="4"/>
      <c r="G313" s="4"/>
      <c r="H313" s="4"/>
      <c r="I313" s="4"/>
      <c r="J313" s="4"/>
      <c r="K313" s="4"/>
    </row>
    <row r="314" spans="1:11" s="12" customFormat="1" hidden="1" x14ac:dyDescent="0.3">
      <c r="A314" s="17" t="s">
        <v>452</v>
      </c>
      <c r="B314" s="17" t="s">
        <v>453</v>
      </c>
      <c r="D314" s="6"/>
      <c r="E314" s="4"/>
      <c r="F314" s="4"/>
      <c r="G314" s="4"/>
      <c r="H314" s="4"/>
      <c r="I314" s="4"/>
      <c r="J314" s="4"/>
      <c r="K314" s="4"/>
    </row>
    <row r="315" spans="1:11" s="12" customFormat="1" hidden="1" x14ac:dyDescent="0.3">
      <c r="A315" s="17" t="s">
        <v>454</v>
      </c>
      <c r="B315" s="17" t="s">
        <v>455</v>
      </c>
      <c r="D315" s="6"/>
      <c r="E315" s="4"/>
      <c r="F315" s="4"/>
      <c r="G315" s="4"/>
      <c r="H315" s="4"/>
      <c r="I315" s="4"/>
      <c r="J315" s="4"/>
      <c r="K315" s="4"/>
    </row>
    <row r="316" spans="1:11" s="12" customFormat="1" hidden="1" x14ac:dyDescent="0.3">
      <c r="A316" s="17" t="s">
        <v>456</v>
      </c>
      <c r="B316" s="17" t="s">
        <v>457</v>
      </c>
      <c r="D316" s="6"/>
      <c r="E316" s="4"/>
      <c r="F316" s="4"/>
      <c r="G316" s="4"/>
      <c r="H316" s="4"/>
      <c r="I316" s="4"/>
      <c r="J316" s="4"/>
      <c r="K316" s="4"/>
    </row>
    <row r="317" spans="1:11" s="12" customFormat="1" hidden="1" x14ac:dyDescent="0.3">
      <c r="A317" s="17" t="s">
        <v>458</v>
      </c>
      <c r="B317" s="17" t="s">
        <v>459</v>
      </c>
      <c r="D317" s="6"/>
      <c r="E317" s="4"/>
      <c r="F317" s="4"/>
      <c r="G317" s="4"/>
      <c r="H317" s="4"/>
      <c r="I317" s="4"/>
      <c r="J317" s="4"/>
      <c r="K317" s="4"/>
    </row>
    <row r="318" spans="1:11" s="12" customFormat="1" hidden="1" x14ac:dyDescent="0.3">
      <c r="A318" s="17" t="s">
        <v>460</v>
      </c>
      <c r="B318" s="17" t="s">
        <v>461</v>
      </c>
      <c r="D318" s="6"/>
      <c r="E318" s="4"/>
      <c r="F318" s="4"/>
      <c r="G318" s="4"/>
      <c r="H318" s="4"/>
      <c r="I318" s="4"/>
      <c r="J318" s="4"/>
      <c r="K318" s="4"/>
    </row>
    <row r="319" spans="1:11" s="12" customFormat="1" hidden="1" x14ac:dyDescent="0.3">
      <c r="A319" s="17" t="s">
        <v>462</v>
      </c>
      <c r="B319" s="17" t="s">
        <v>463</v>
      </c>
      <c r="D319" s="6"/>
      <c r="E319" s="4"/>
      <c r="F319" s="4"/>
      <c r="G319" s="4"/>
      <c r="H319" s="4"/>
      <c r="I319" s="4"/>
      <c r="J319" s="4"/>
      <c r="K319" s="4"/>
    </row>
    <row r="320" spans="1:11" s="12" customFormat="1" hidden="1" x14ac:dyDescent="0.3">
      <c r="A320" s="17" t="s">
        <v>464</v>
      </c>
      <c r="B320" s="17" t="s">
        <v>465</v>
      </c>
      <c r="D320" s="6"/>
      <c r="E320" s="4"/>
      <c r="F320" s="4"/>
      <c r="G320" s="4"/>
      <c r="H320" s="4"/>
      <c r="I320" s="4"/>
      <c r="J320" s="4"/>
      <c r="K320" s="4"/>
    </row>
    <row r="321" spans="1:11" s="12" customFormat="1" hidden="1" x14ac:dyDescent="0.3">
      <c r="A321" s="17" t="s">
        <v>466</v>
      </c>
      <c r="B321" s="17" t="s">
        <v>467</v>
      </c>
      <c r="D321" s="6"/>
      <c r="E321" s="4"/>
      <c r="F321" s="4"/>
      <c r="G321" s="4"/>
      <c r="H321" s="4"/>
      <c r="I321" s="4"/>
      <c r="J321" s="4"/>
      <c r="K321" s="4"/>
    </row>
    <row r="322" spans="1:11" s="12" customFormat="1" hidden="1" x14ac:dyDescent="0.3">
      <c r="A322" s="17" t="s">
        <v>468</v>
      </c>
      <c r="B322" s="17" t="s">
        <v>469</v>
      </c>
      <c r="D322" s="6"/>
      <c r="E322" s="4"/>
      <c r="F322" s="4"/>
      <c r="G322" s="4"/>
      <c r="H322" s="4"/>
      <c r="I322" s="4"/>
      <c r="J322" s="4"/>
      <c r="K322" s="4"/>
    </row>
    <row r="323" spans="1:11" s="12" customFormat="1" hidden="1" x14ac:dyDescent="0.3">
      <c r="A323" s="17" t="s">
        <v>470</v>
      </c>
      <c r="B323" s="17" t="s">
        <v>471</v>
      </c>
      <c r="D323" s="6"/>
      <c r="E323" s="4"/>
      <c r="F323" s="4"/>
      <c r="G323" s="4"/>
      <c r="H323" s="4"/>
      <c r="I323" s="4"/>
      <c r="J323" s="4"/>
      <c r="K323" s="4"/>
    </row>
    <row r="324" spans="1:11" s="12" customFormat="1" hidden="1" x14ac:dyDescent="0.3">
      <c r="A324" s="17" t="s">
        <v>472</v>
      </c>
      <c r="B324" s="17" t="s">
        <v>473</v>
      </c>
      <c r="D324" s="6"/>
      <c r="E324" s="4"/>
      <c r="F324" s="4"/>
      <c r="G324" s="4"/>
      <c r="H324" s="4"/>
      <c r="I324" s="4"/>
      <c r="J324" s="4"/>
      <c r="K324" s="4"/>
    </row>
    <row r="325" spans="1:11" s="12" customFormat="1" hidden="1" x14ac:dyDescent="0.3">
      <c r="A325" s="17" t="s">
        <v>474</v>
      </c>
      <c r="B325" s="17" t="s">
        <v>475</v>
      </c>
      <c r="D325" s="6"/>
      <c r="E325" s="4"/>
      <c r="F325" s="4"/>
      <c r="G325" s="4"/>
      <c r="H325" s="4"/>
      <c r="I325" s="4"/>
      <c r="J325" s="4"/>
      <c r="K325" s="4"/>
    </row>
    <row r="326" spans="1:11" s="12" customFormat="1" hidden="1" x14ac:dyDescent="0.3">
      <c r="A326" s="17" t="s">
        <v>476</v>
      </c>
      <c r="B326" s="17" t="s">
        <v>477</v>
      </c>
      <c r="D326" s="6"/>
      <c r="E326" s="4"/>
      <c r="F326" s="4"/>
      <c r="G326" s="4"/>
      <c r="H326" s="4"/>
      <c r="I326" s="4"/>
      <c r="J326" s="4"/>
      <c r="K326" s="4"/>
    </row>
    <row r="327" spans="1:11" s="12" customFormat="1" hidden="1" x14ac:dyDescent="0.3">
      <c r="A327" s="17" t="s">
        <v>478</v>
      </c>
      <c r="B327" s="17" t="s">
        <v>479</v>
      </c>
      <c r="D327" s="6"/>
      <c r="E327" s="4"/>
      <c r="F327" s="4"/>
      <c r="G327" s="4"/>
      <c r="H327" s="4"/>
      <c r="I327" s="4"/>
      <c r="J327" s="4"/>
      <c r="K327" s="4"/>
    </row>
    <row r="328" spans="1:11" s="12" customFormat="1" hidden="1" x14ac:dyDescent="0.3">
      <c r="A328" s="17" t="s">
        <v>480</v>
      </c>
      <c r="B328" s="17" t="s">
        <v>481</v>
      </c>
      <c r="D328" s="6"/>
      <c r="E328" s="4"/>
      <c r="F328" s="4"/>
      <c r="G328" s="4"/>
      <c r="H328" s="4"/>
      <c r="I328" s="4"/>
      <c r="J328" s="4"/>
      <c r="K328" s="4"/>
    </row>
    <row r="329" spans="1:11" s="12" customFormat="1" hidden="1" x14ac:dyDescent="0.3">
      <c r="A329" s="17" t="s">
        <v>482</v>
      </c>
      <c r="B329" s="17" t="s">
        <v>483</v>
      </c>
      <c r="D329" s="6"/>
      <c r="E329" s="4"/>
      <c r="F329" s="4"/>
      <c r="G329" s="4"/>
      <c r="H329" s="4"/>
      <c r="I329" s="4"/>
      <c r="J329" s="4"/>
      <c r="K329" s="4"/>
    </row>
    <row r="330" spans="1:11" s="12" customFormat="1" hidden="1" x14ac:dyDescent="0.3">
      <c r="A330" s="17" t="s">
        <v>484</v>
      </c>
      <c r="B330" s="17" t="s">
        <v>485</v>
      </c>
      <c r="D330" s="6"/>
      <c r="E330" s="4"/>
      <c r="F330" s="4"/>
      <c r="G330" s="4"/>
      <c r="H330" s="4"/>
      <c r="I330" s="4"/>
      <c r="J330" s="4"/>
      <c r="K330" s="4"/>
    </row>
    <row r="331" spans="1:11" s="12" customFormat="1" hidden="1" x14ac:dyDescent="0.3">
      <c r="A331" s="17" t="s">
        <v>486</v>
      </c>
      <c r="B331" s="17" t="s">
        <v>487</v>
      </c>
      <c r="D331" s="6"/>
      <c r="E331" s="4"/>
      <c r="F331" s="4"/>
      <c r="G331" s="4"/>
      <c r="H331" s="4"/>
      <c r="I331" s="4"/>
      <c r="J331" s="4"/>
      <c r="K331" s="4"/>
    </row>
    <row r="332" spans="1:11" s="12" customFormat="1" hidden="1" x14ac:dyDescent="0.3">
      <c r="A332" s="17" t="s">
        <v>488</v>
      </c>
      <c r="B332" s="17" t="s">
        <v>489</v>
      </c>
      <c r="D332" s="6"/>
      <c r="E332" s="4"/>
      <c r="F332" s="4"/>
      <c r="G332" s="4"/>
      <c r="H332" s="4"/>
      <c r="I332" s="4"/>
      <c r="J332" s="4"/>
      <c r="K332" s="4"/>
    </row>
    <row r="333" spans="1:11" s="12" customFormat="1" hidden="1" x14ac:dyDescent="0.3">
      <c r="A333" s="17" t="s">
        <v>490</v>
      </c>
      <c r="B333" s="17" t="s">
        <v>491</v>
      </c>
      <c r="D333" s="6"/>
      <c r="E333" s="4"/>
      <c r="F333" s="4"/>
      <c r="G333" s="4"/>
      <c r="H333" s="4"/>
      <c r="I333" s="4"/>
      <c r="J333" s="4"/>
      <c r="K333" s="4"/>
    </row>
    <row r="334" spans="1:11" s="12" customFormat="1" hidden="1" x14ac:dyDescent="0.3">
      <c r="A334" s="17" t="s">
        <v>492</v>
      </c>
      <c r="B334" s="17" t="s">
        <v>493</v>
      </c>
      <c r="D334" s="6"/>
      <c r="E334" s="4"/>
      <c r="F334" s="4"/>
      <c r="G334" s="4"/>
      <c r="H334" s="4"/>
      <c r="I334" s="4"/>
      <c r="J334" s="4"/>
      <c r="K334" s="4"/>
    </row>
    <row r="335" spans="1:11" s="12" customFormat="1" hidden="1" x14ac:dyDescent="0.3">
      <c r="A335" s="17" t="s">
        <v>494</v>
      </c>
      <c r="B335" s="17" t="s">
        <v>495</v>
      </c>
      <c r="D335" s="6"/>
      <c r="E335" s="4"/>
      <c r="F335" s="4"/>
      <c r="G335" s="4"/>
      <c r="H335" s="4"/>
      <c r="I335" s="4"/>
      <c r="J335" s="4"/>
      <c r="K335" s="4"/>
    </row>
    <row r="336" spans="1:11" s="12" customFormat="1" hidden="1" x14ac:dyDescent="0.3">
      <c r="A336" s="17" t="s">
        <v>496</v>
      </c>
      <c r="B336" s="17" t="s">
        <v>497</v>
      </c>
      <c r="D336" s="6"/>
      <c r="E336" s="4"/>
      <c r="F336" s="4"/>
      <c r="G336" s="4"/>
      <c r="H336" s="4"/>
      <c r="I336" s="4"/>
      <c r="J336" s="4"/>
      <c r="K336" s="4"/>
    </row>
    <row r="337" spans="1:11" s="12" customFormat="1" hidden="1" x14ac:dyDescent="0.3">
      <c r="A337" s="17" t="s">
        <v>498</v>
      </c>
      <c r="B337" s="17" t="s">
        <v>499</v>
      </c>
      <c r="D337" s="6"/>
      <c r="E337" s="4"/>
      <c r="F337" s="4"/>
      <c r="G337" s="4"/>
      <c r="H337" s="4"/>
      <c r="I337" s="4"/>
      <c r="J337" s="4"/>
      <c r="K337" s="4"/>
    </row>
    <row r="338" spans="1:11" s="12" customFormat="1" hidden="1" x14ac:dyDescent="0.3">
      <c r="A338" s="17" t="s">
        <v>500</v>
      </c>
      <c r="B338" s="17" t="s">
        <v>501</v>
      </c>
      <c r="D338" s="6"/>
      <c r="E338" s="4"/>
      <c r="F338" s="4"/>
      <c r="G338" s="4"/>
      <c r="H338" s="4"/>
      <c r="I338" s="4"/>
      <c r="J338" s="4"/>
      <c r="K338" s="4"/>
    </row>
    <row r="339" spans="1:11" s="12" customFormat="1" hidden="1" x14ac:dyDescent="0.3">
      <c r="A339" s="17" t="s">
        <v>502</v>
      </c>
      <c r="B339" s="17" t="s">
        <v>503</v>
      </c>
      <c r="D339" s="6"/>
      <c r="E339" s="4"/>
      <c r="F339" s="4"/>
      <c r="G339" s="4"/>
      <c r="H339" s="4"/>
      <c r="I339" s="4"/>
      <c r="J339" s="4"/>
      <c r="K339" s="4"/>
    </row>
    <row r="340" spans="1:11" s="12" customFormat="1" hidden="1" x14ac:dyDescent="0.3">
      <c r="A340" s="17" t="s">
        <v>504</v>
      </c>
      <c r="B340" s="17" t="s">
        <v>505</v>
      </c>
      <c r="D340" s="6"/>
      <c r="E340" s="4"/>
      <c r="F340" s="4"/>
      <c r="G340" s="4"/>
      <c r="H340" s="4"/>
      <c r="I340" s="4"/>
      <c r="J340" s="4"/>
      <c r="K340" s="4"/>
    </row>
    <row r="341" spans="1:11" s="12" customFormat="1" hidden="1" x14ac:dyDescent="0.3">
      <c r="A341" s="17" t="s">
        <v>506</v>
      </c>
      <c r="B341" s="17" t="s">
        <v>507</v>
      </c>
      <c r="D341" s="6"/>
      <c r="E341" s="4"/>
      <c r="F341" s="4"/>
      <c r="G341" s="4"/>
      <c r="H341" s="4"/>
      <c r="I341" s="4"/>
      <c r="J341" s="4"/>
      <c r="K341" s="4"/>
    </row>
    <row r="342" spans="1:11" s="12" customFormat="1" hidden="1" x14ac:dyDescent="0.3">
      <c r="A342" s="17" t="s">
        <v>508</v>
      </c>
      <c r="B342" s="17" t="s">
        <v>509</v>
      </c>
      <c r="D342" s="6"/>
      <c r="E342" s="4"/>
      <c r="F342" s="4"/>
      <c r="G342" s="4"/>
      <c r="H342" s="4"/>
      <c r="I342" s="4"/>
      <c r="J342" s="4"/>
      <c r="K342" s="4"/>
    </row>
    <row r="343" spans="1:11" s="12" customFormat="1" hidden="1" x14ac:dyDescent="0.3">
      <c r="A343" s="17" t="s">
        <v>510</v>
      </c>
      <c r="B343" s="17" t="s">
        <v>511</v>
      </c>
      <c r="D343" s="6"/>
      <c r="E343" s="4"/>
      <c r="F343" s="4"/>
      <c r="G343" s="4"/>
      <c r="H343" s="4"/>
      <c r="I343" s="4"/>
      <c r="J343" s="4"/>
      <c r="K343" s="4"/>
    </row>
    <row r="344" spans="1:11" s="12" customFormat="1" hidden="1" x14ac:dyDescent="0.3">
      <c r="A344" s="17" t="s">
        <v>512</v>
      </c>
      <c r="B344" s="17" t="s">
        <v>513</v>
      </c>
      <c r="D344" s="6"/>
      <c r="E344" s="4"/>
      <c r="F344" s="4"/>
      <c r="G344" s="4"/>
      <c r="H344" s="4"/>
      <c r="I344" s="4"/>
      <c r="J344" s="4"/>
      <c r="K344" s="4"/>
    </row>
    <row r="345" spans="1:11" s="12" customFormat="1" hidden="1" x14ac:dyDescent="0.3">
      <c r="A345" s="17" t="s">
        <v>514</v>
      </c>
      <c r="B345" s="17" t="s">
        <v>515</v>
      </c>
      <c r="D345" s="6"/>
      <c r="E345" s="4"/>
      <c r="F345" s="4"/>
      <c r="G345" s="4"/>
      <c r="H345" s="4"/>
      <c r="I345" s="4"/>
      <c r="J345" s="4"/>
      <c r="K345" s="4"/>
    </row>
    <row r="346" spans="1:11" s="12" customFormat="1" hidden="1" x14ac:dyDescent="0.3">
      <c r="A346" s="17" t="s">
        <v>516</v>
      </c>
      <c r="B346" s="17" t="s">
        <v>517</v>
      </c>
      <c r="D346" s="6"/>
      <c r="E346" s="4"/>
      <c r="F346" s="4"/>
      <c r="G346" s="4"/>
      <c r="H346" s="4"/>
      <c r="I346" s="4"/>
      <c r="J346" s="4"/>
      <c r="K346" s="4"/>
    </row>
    <row r="347" spans="1:11" s="12" customFormat="1" hidden="1" x14ac:dyDescent="0.3">
      <c r="A347" s="17" t="s">
        <v>518</v>
      </c>
      <c r="B347" s="17" t="s">
        <v>519</v>
      </c>
      <c r="D347" s="6"/>
      <c r="E347" s="4"/>
      <c r="F347" s="4"/>
      <c r="G347" s="4"/>
      <c r="H347" s="4"/>
      <c r="I347" s="4"/>
      <c r="J347" s="4"/>
      <c r="K347" s="4"/>
    </row>
    <row r="348" spans="1:11" s="12" customFormat="1" hidden="1" x14ac:dyDescent="0.3">
      <c r="A348" s="17" t="s">
        <v>520</v>
      </c>
      <c r="B348" s="17" t="s">
        <v>521</v>
      </c>
      <c r="D348" s="6"/>
      <c r="E348" s="4"/>
      <c r="F348" s="4"/>
      <c r="G348" s="4"/>
      <c r="H348" s="4"/>
      <c r="I348" s="4"/>
      <c r="J348" s="4"/>
      <c r="K348" s="4"/>
    </row>
    <row r="349" spans="1:11" s="12" customFormat="1" hidden="1" x14ac:dyDescent="0.3">
      <c r="A349" s="17" t="s">
        <v>522</v>
      </c>
      <c r="B349" s="17" t="s">
        <v>523</v>
      </c>
      <c r="D349" s="6"/>
      <c r="E349" s="4"/>
      <c r="F349" s="4"/>
      <c r="G349" s="4"/>
      <c r="H349" s="4"/>
      <c r="I349" s="4"/>
      <c r="J349" s="4"/>
      <c r="K349" s="4"/>
    </row>
    <row r="350" spans="1:11" s="12" customFormat="1" hidden="1" x14ac:dyDescent="0.3">
      <c r="A350" s="17" t="s">
        <v>524</v>
      </c>
      <c r="B350" s="17" t="s">
        <v>525</v>
      </c>
      <c r="D350" s="6"/>
      <c r="E350" s="4"/>
      <c r="F350" s="4"/>
      <c r="G350" s="4"/>
      <c r="H350" s="4"/>
      <c r="I350" s="4"/>
      <c r="J350" s="4"/>
      <c r="K350" s="4"/>
    </row>
    <row r="351" spans="1:11" s="12" customFormat="1" hidden="1" x14ac:dyDescent="0.3">
      <c r="A351" s="17" t="s">
        <v>526</v>
      </c>
      <c r="B351" s="17" t="s">
        <v>527</v>
      </c>
      <c r="D351" s="6"/>
      <c r="E351" s="4"/>
      <c r="F351" s="4"/>
      <c r="G351" s="4"/>
      <c r="H351" s="4"/>
      <c r="I351" s="4"/>
      <c r="J351" s="4"/>
      <c r="K351" s="4"/>
    </row>
    <row r="352" spans="1:11" s="12" customFormat="1" hidden="1" x14ac:dyDescent="0.3">
      <c r="A352" s="17" t="s">
        <v>528</v>
      </c>
      <c r="B352" s="17" t="s">
        <v>529</v>
      </c>
      <c r="D352" s="6"/>
      <c r="E352" s="4"/>
      <c r="F352" s="4"/>
      <c r="G352" s="4"/>
      <c r="H352" s="4"/>
      <c r="I352" s="4"/>
      <c r="J352" s="4"/>
      <c r="K352" s="4"/>
    </row>
    <row r="353" spans="1:11" s="12" customFormat="1" hidden="1" x14ac:dyDescent="0.3">
      <c r="A353" s="17" t="s">
        <v>530</v>
      </c>
      <c r="B353" s="17" t="s">
        <v>531</v>
      </c>
      <c r="D353" s="6"/>
      <c r="E353" s="4"/>
      <c r="F353" s="4"/>
      <c r="G353" s="4"/>
      <c r="H353" s="4"/>
      <c r="I353" s="4"/>
      <c r="J353" s="4"/>
      <c r="K353" s="4"/>
    </row>
    <row r="354" spans="1:11" s="12" customFormat="1" hidden="1" x14ac:dyDescent="0.3">
      <c r="A354" s="17" t="s">
        <v>532</v>
      </c>
      <c r="B354" s="17" t="s">
        <v>533</v>
      </c>
      <c r="D354" s="6"/>
      <c r="E354" s="4"/>
      <c r="F354" s="4"/>
      <c r="G354" s="4"/>
      <c r="H354" s="4"/>
      <c r="I354" s="4"/>
      <c r="J354" s="4"/>
      <c r="K354" s="4"/>
    </row>
    <row r="355" spans="1:11" s="12" customFormat="1" hidden="1" x14ac:dyDescent="0.3">
      <c r="A355" s="17" t="s">
        <v>534</v>
      </c>
      <c r="B355" s="17" t="s">
        <v>535</v>
      </c>
      <c r="D355" s="6"/>
      <c r="E355" s="4"/>
      <c r="F355" s="4"/>
      <c r="G355" s="4"/>
      <c r="H355" s="4"/>
      <c r="I355" s="4"/>
      <c r="J355" s="4"/>
      <c r="K355" s="4"/>
    </row>
    <row r="356" spans="1:11" s="12" customFormat="1" hidden="1" x14ac:dyDescent="0.3">
      <c r="A356" s="17" t="s">
        <v>536</v>
      </c>
      <c r="B356" s="17" t="s">
        <v>537</v>
      </c>
      <c r="D356" s="6"/>
      <c r="E356" s="4"/>
      <c r="F356" s="4"/>
      <c r="G356" s="4"/>
      <c r="H356" s="4"/>
      <c r="I356" s="4"/>
      <c r="J356" s="4"/>
      <c r="K356" s="4"/>
    </row>
    <row r="357" spans="1:11" s="12" customFormat="1" hidden="1" x14ac:dyDescent="0.3">
      <c r="A357" s="17" t="s">
        <v>623</v>
      </c>
      <c r="B357" s="17" t="s">
        <v>627</v>
      </c>
      <c r="D357" s="6"/>
      <c r="E357" s="4"/>
      <c r="F357" s="4"/>
      <c r="G357" s="4"/>
      <c r="H357" s="4"/>
      <c r="I357" s="4"/>
      <c r="J357" s="4"/>
      <c r="K357" s="4"/>
    </row>
    <row r="358" spans="1:11" s="12" customFormat="1" hidden="1" x14ac:dyDescent="0.3">
      <c r="A358" s="17" t="s">
        <v>624</v>
      </c>
      <c r="B358" s="17" t="s">
        <v>628</v>
      </c>
      <c r="D358" s="6"/>
      <c r="E358" s="4"/>
      <c r="F358" s="4"/>
      <c r="G358" s="4"/>
      <c r="H358" s="4"/>
      <c r="I358" s="4"/>
      <c r="J358" s="4"/>
      <c r="K358" s="4"/>
    </row>
    <row r="359" spans="1:11" s="12" customFormat="1" hidden="1" x14ac:dyDescent="0.3">
      <c r="A359" s="17" t="s">
        <v>625</v>
      </c>
      <c r="B359" s="17" t="s">
        <v>629</v>
      </c>
      <c r="D359" s="6"/>
      <c r="E359" s="4"/>
      <c r="F359" s="4"/>
      <c r="G359" s="4"/>
      <c r="H359" s="4"/>
      <c r="I359" s="4"/>
      <c r="J359" s="4"/>
      <c r="K359" s="4"/>
    </row>
    <row r="360" spans="1:11" s="12" customFormat="1" hidden="1" x14ac:dyDescent="0.3">
      <c r="A360" s="17" t="s">
        <v>626</v>
      </c>
      <c r="B360" s="17" t="s">
        <v>630</v>
      </c>
      <c r="D360" s="6"/>
      <c r="E360" s="4"/>
      <c r="F360" s="4"/>
      <c r="G360" s="4"/>
      <c r="H360" s="4"/>
      <c r="I360" s="4"/>
      <c r="J360" s="4"/>
      <c r="K360" s="4"/>
    </row>
    <row r="361" spans="1:11" s="12" customFormat="1" hidden="1" x14ac:dyDescent="0.3">
      <c r="A361" s="17" t="s">
        <v>652</v>
      </c>
      <c r="B361" s="17"/>
      <c r="D361" s="6"/>
      <c r="E361" s="4"/>
      <c r="F361" s="4"/>
      <c r="G361" s="4"/>
      <c r="H361" s="4"/>
      <c r="I361" s="4"/>
      <c r="J361" s="4"/>
      <c r="K361" s="4"/>
    </row>
    <row r="362" spans="1:11" s="12" customFormat="1" hidden="1" x14ac:dyDescent="0.3">
      <c r="A362" s="17" t="s">
        <v>653</v>
      </c>
      <c r="B362" s="17"/>
      <c r="D362" s="6"/>
      <c r="E362" s="4"/>
      <c r="F362" s="4"/>
      <c r="G362" s="4"/>
      <c r="H362" s="4"/>
      <c r="I362" s="4"/>
      <c r="J362" s="4"/>
      <c r="K362" s="4"/>
    </row>
    <row r="363" spans="1:11" s="12" customFormat="1" hidden="1" x14ac:dyDescent="0.3">
      <c r="A363" s="17" t="s">
        <v>654</v>
      </c>
      <c r="B363" s="17"/>
      <c r="D363" s="6"/>
      <c r="E363" s="4"/>
      <c r="F363" s="4"/>
      <c r="G363" s="4"/>
      <c r="H363" s="4"/>
      <c r="I363" s="4"/>
      <c r="J363" s="4"/>
      <c r="K363" s="4"/>
    </row>
    <row r="364" spans="1:11" s="12" customFormat="1" hidden="1" x14ac:dyDescent="0.3">
      <c r="A364" s="17" t="s">
        <v>655</v>
      </c>
      <c r="B364" s="17"/>
      <c r="D364" s="6"/>
      <c r="E364" s="4"/>
      <c r="F364" s="4"/>
      <c r="G364" s="4"/>
      <c r="H364" s="4"/>
      <c r="I364" s="4"/>
      <c r="J364" s="4"/>
      <c r="K364" s="4"/>
    </row>
    <row r="365" spans="1:11" s="12" customFormat="1" hidden="1" x14ac:dyDescent="0.3">
      <c r="A365" s="17" t="s">
        <v>656</v>
      </c>
      <c r="B365" s="17"/>
      <c r="D365" s="6"/>
      <c r="E365" s="4"/>
      <c r="F365" s="4"/>
      <c r="G365" s="4"/>
      <c r="H365" s="4"/>
      <c r="I365" s="4"/>
      <c r="J365" s="4"/>
      <c r="K365" s="4"/>
    </row>
    <row r="366" spans="1:11" s="12" customFormat="1" hidden="1" x14ac:dyDescent="0.3">
      <c r="A366" s="17"/>
      <c r="B366" s="17"/>
      <c r="D366" s="6"/>
      <c r="E366" s="4"/>
      <c r="F366" s="4"/>
      <c r="G366" s="4"/>
      <c r="H366" s="4"/>
      <c r="I366" s="4"/>
      <c r="J366" s="4"/>
      <c r="K366" s="4"/>
    </row>
    <row r="367" spans="1:11" s="12" customFormat="1" hidden="1" x14ac:dyDescent="0.3">
      <c r="A367" s="22" t="s">
        <v>538</v>
      </c>
      <c r="B367" s="22" t="s">
        <v>539</v>
      </c>
      <c r="D367" s="6"/>
      <c r="E367" s="4"/>
      <c r="F367" s="4"/>
      <c r="G367" s="4"/>
      <c r="H367" s="4"/>
      <c r="I367" s="4"/>
      <c r="J367" s="4"/>
      <c r="K367" s="4"/>
    </row>
    <row r="368" spans="1:11" s="12" customFormat="1" hidden="1" x14ac:dyDescent="0.3">
      <c r="A368" s="17" t="s">
        <v>7</v>
      </c>
      <c r="B368" s="17" t="s">
        <v>540</v>
      </c>
      <c r="D368" s="6"/>
      <c r="E368" s="4"/>
      <c r="F368" s="4"/>
      <c r="G368" s="4"/>
      <c r="H368" s="4"/>
      <c r="I368" s="4"/>
      <c r="J368" s="4"/>
      <c r="K368" s="4"/>
    </row>
    <row r="369" spans="1:11" s="12" customFormat="1" hidden="1" x14ac:dyDescent="0.3">
      <c r="A369" s="17" t="s">
        <v>408</v>
      </c>
      <c r="B369" s="17" t="s">
        <v>409</v>
      </c>
      <c r="D369" s="6"/>
      <c r="E369" s="4"/>
      <c r="F369" s="4"/>
      <c r="G369" s="4"/>
      <c r="H369" s="4"/>
      <c r="I369" s="4"/>
      <c r="J369" s="4"/>
      <c r="K369" s="4"/>
    </row>
    <row r="370" spans="1:11" s="12" customFormat="1" hidden="1" x14ac:dyDescent="0.3">
      <c r="A370" s="17" t="s">
        <v>410</v>
      </c>
      <c r="B370" s="17" t="s">
        <v>411</v>
      </c>
      <c r="D370" s="6"/>
      <c r="E370" s="4"/>
      <c r="F370" s="4"/>
      <c r="G370" s="4"/>
      <c r="H370" s="4"/>
      <c r="I370" s="4"/>
      <c r="J370" s="4"/>
      <c r="K370" s="4"/>
    </row>
    <row r="371" spans="1:11" s="12" customFormat="1" hidden="1" x14ac:dyDescent="0.3">
      <c r="A371" s="17" t="s">
        <v>412</v>
      </c>
      <c r="B371" s="17" t="s">
        <v>413</v>
      </c>
      <c r="D371" s="6"/>
      <c r="E371" s="4"/>
      <c r="F371" s="4"/>
      <c r="G371" s="4"/>
      <c r="H371" s="4"/>
      <c r="I371" s="4"/>
      <c r="J371" s="4"/>
      <c r="K371" s="4"/>
    </row>
    <row r="372" spans="1:11" s="12" customFormat="1" hidden="1" x14ac:dyDescent="0.3">
      <c r="A372" s="17" t="s">
        <v>414</v>
      </c>
      <c r="B372" s="17" t="s">
        <v>415</v>
      </c>
      <c r="D372" s="6"/>
      <c r="E372" s="4"/>
      <c r="F372" s="4"/>
      <c r="G372" s="4"/>
      <c r="H372" s="4"/>
      <c r="I372" s="4"/>
      <c r="J372" s="4"/>
      <c r="K372" s="4"/>
    </row>
    <row r="373" spans="1:11" s="12" customFormat="1" hidden="1" x14ac:dyDescent="0.3">
      <c r="A373" s="17" t="s">
        <v>416</v>
      </c>
      <c r="B373" s="17" t="s">
        <v>417</v>
      </c>
      <c r="D373" s="6"/>
      <c r="E373" s="4"/>
      <c r="F373" s="4"/>
      <c r="G373" s="4"/>
      <c r="H373" s="4"/>
      <c r="I373" s="4"/>
      <c r="J373" s="4"/>
      <c r="K373" s="4"/>
    </row>
    <row r="374" spans="1:11" s="12" customFormat="1" hidden="1" x14ac:dyDescent="0.3">
      <c r="A374" s="17" t="s">
        <v>418</v>
      </c>
      <c r="B374" s="17" t="s">
        <v>419</v>
      </c>
      <c r="D374" s="6"/>
      <c r="E374" s="4"/>
      <c r="F374" s="4"/>
      <c r="G374" s="4"/>
      <c r="H374" s="4"/>
      <c r="I374" s="4"/>
      <c r="J374" s="4"/>
      <c r="K374" s="4"/>
    </row>
    <row r="375" spans="1:11" s="12" customFormat="1" hidden="1" x14ac:dyDescent="0.3">
      <c r="A375" s="17" t="s">
        <v>420</v>
      </c>
      <c r="B375" s="17" t="s">
        <v>421</v>
      </c>
      <c r="D375" s="6"/>
      <c r="E375" s="4"/>
      <c r="F375" s="4"/>
      <c r="G375" s="4"/>
      <c r="H375" s="4"/>
      <c r="I375" s="4"/>
      <c r="J375" s="4"/>
      <c r="K375" s="4"/>
    </row>
    <row r="376" spans="1:11" s="12" customFormat="1" hidden="1" x14ac:dyDescent="0.3">
      <c r="A376" s="17" t="s">
        <v>422</v>
      </c>
      <c r="B376" s="17" t="s">
        <v>423</v>
      </c>
      <c r="D376" s="6"/>
      <c r="E376" s="4"/>
      <c r="F376" s="4"/>
      <c r="G376" s="4"/>
      <c r="H376" s="4"/>
      <c r="I376" s="4"/>
      <c r="J376" s="4"/>
      <c r="K376" s="4"/>
    </row>
    <row r="377" spans="1:11" s="12" customFormat="1" hidden="1" x14ac:dyDescent="0.3">
      <c r="A377" s="17" t="s">
        <v>424</v>
      </c>
      <c r="B377" s="17" t="s">
        <v>425</v>
      </c>
      <c r="D377" s="6"/>
      <c r="E377" s="4"/>
      <c r="F377" s="4"/>
      <c r="G377" s="4"/>
      <c r="H377" s="4"/>
      <c r="I377" s="4"/>
      <c r="J377" s="4"/>
      <c r="K377" s="4"/>
    </row>
    <row r="378" spans="1:11" s="12" customFormat="1" hidden="1" x14ac:dyDescent="0.3">
      <c r="A378" s="17" t="s">
        <v>426</v>
      </c>
      <c r="B378" s="17" t="s">
        <v>427</v>
      </c>
      <c r="D378" s="6"/>
      <c r="E378" s="4"/>
      <c r="F378" s="4"/>
      <c r="G378" s="4"/>
      <c r="H378" s="4"/>
      <c r="I378" s="4"/>
      <c r="J378" s="4"/>
      <c r="K378" s="4"/>
    </row>
    <row r="379" spans="1:11" s="12" customFormat="1" hidden="1" x14ac:dyDescent="0.3">
      <c r="A379" s="17" t="s">
        <v>428</v>
      </c>
      <c r="B379" s="17" t="s">
        <v>429</v>
      </c>
      <c r="D379" s="6"/>
      <c r="E379" s="4"/>
      <c r="F379" s="4"/>
      <c r="G379" s="4"/>
      <c r="H379" s="4"/>
      <c r="I379" s="4"/>
      <c r="J379" s="4"/>
      <c r="K379" s="4"/>
    </row>
    <row r="380" spans="1:11" s="12" customFormat="1" hidden="1" x14ac:dyDescent="0.3">
      <c r="A380" s="17" t="s">
        <v>430</v>
      </c>
      <c r="B380" s="17" t="s">
        <v>431</v>
      </c>
      <c r="D380" s="6"/>
      <c r="E380" s="4"/>
      <c r="F380" s="4"/>
      <c r="G380" s="4"/>
      <c r="H380" s="4"/>
      <c r="I380" s="4"/>
      <c r="J380" s="4"/>
      <c r="K380" s="4"/>
    </row>
    <row r="381" spans="1:11" s="12" customFormat="1" hidden="1" x14ac:dyDescent="0.3">
      <c r="A381" s="17" t="s">
        <v>432</v>
      </c>
      <c r="B381" s="17" t="s">
        <v>433</v>
      </c>
      <c r="D381" s="6"/>
      <c r="E381" s="4"/>
      <c r="F381" s="4"/>
      <c r="G381" s="4"/>
      <c r="H381" s="4"/>
      <c r="I381" s="4"/>
      <c r="J381" s="4"/>
      <c r="K381" s="4"/>
    </row>
    <row r="382" spans="1:11" s="12" customFormat="1" hidden="1" x14ac:dyDescent="0.3">
      <c r="A382" s="17" t="s">
        <v>434</v>
      </c>
      <c r="B382" s="17" t="s">
        <v>435</v>
      </c>
      <c r="D382" s="6"/>
      <c r="E382" s="4"/>
      <c r="F382" s="4"/>
      <c r="G382" s="4"/>
      <c r="H382" s="4"/>
      <c r="I382" s="4"/>
      <c r="J382" s="4"/>
      <c r="K382" s="4"/>
    </row>
    <row r="383" spans="1:11" s="12" customFormat="1" hidden="1" x14ac:dyDescent="0.3">
      <c r="A383" s="17" t="s">
        <v>436</v>
      </c>
      <c r="B383" s="17" t="s">
        <v>437</v>
      </c>
      <c r="D383" s="6"/>
      <c r="E383" s="4"/>
      <c r="F383" s="4"/>
      <c r="G383" s="4"/>
      <c r="H383" s="4"/>
      <c r="I383" s="4"/>
      <c r="J383" s="4"/>
      <c r="K383" s="4"/>
    </row>
    <row r="384" spans="1:11" s="12" customFormat="1" hidden="1" x14ac:dyDescent="0.3">
      <c r="A384" s="17" t="s">
        <v>438</v>
      </c>
      <c r="B384" s="17" t="s">
        <v>439</v>
      </c>
      <c r="D384" s="6"/>
      <c r="E384" s="4"/>
      <c r="F384" s="4"/>
      <c r="G384" s="4"/>
      <c r="H384" s="4"/>
      <c r="I384" s="4"/>
      <c r="J384" s="4"/>
      <c r="K384" s="4"/>
    </row>
    <row r="385" spans="1:11" s="12" customFormat="1" hidden="1" x14ac:dyDescent="0.3">
      <c r="A385" s="17" t="s">
        <v>440</v>
      </c>
      <c r="B385" s="17" t="s">
        <v>441</v>
      </c>
      <c r="D385" s="6"/>
      <c r="E385" s="4"/>
      <c r="F385" s="4"/>
      <c r="G385" s="4"/>
      <c r="H385" s="4"/>
      <c r="I385" s="4"/>
      <c r="J385" s="4"/>
      <c r="K385" s="4"/>
    </row>
    <row r="386" spans="1:11" s="12" customFormat="1" hidden="1" x14ac:dyDescent="0.3">
      <c r="A386" s="17" t="s">
        <v>442</v>
      </c>
      <c r="B386" s="17" t="s">
        <v>443</v>
      </c>
      <c r="D386" s="6"/>
      <c r="E386" s="4"/>
      <c r="F386" s="4"/>
      <c r="G386" s="4"/>
      <c r="H386" s="4"/>
      <c r="I386" s="4"/>
      <c r="J386" s="4"/>
      <c r="K386" s="4"/>
    </row>
    <row r="387" spans="1:11" s="12" customFormat="1" hidden="1" x14ac:dyDescent="0.3">
      <c r="A387" s="17" t="s">
        <v>444</v>
      </c>
      <c r="B387" s="17" t="s">
        <v>445</v>
      </c>
      <c r="D387" s="6"/>
      <c r="E387" s="4"/>
      <c r="F387" s="4"/>
      <c r="G387" s="4"/>
      <c r="H387" s="4"/>
      <c r="I387" s="4"/>
      <c r="J387" s="4"/>
      <c r="K387" s="4"/>
    </row>
    <row r="388" spans="1:11" s="12" customFormat="1" hidden="1" x14ac:dyDescent="0.3">
      <c r="A388" s="17" t="s">
        <v>446</v>
      </c>
      <c r="B388" s="17" t="s">
        <v>447</v>
      </c>
      <c r="D388" s="6"/>
      <c r="E388" s="4"/>
      <c r="F388" s="4"/>
      <c r="G388" s="4"/>
      <c r="H388" s="4"/>
      <c r="I388" s="4"/>
      <c r="J388" s="4"/>
      <c r="K388" s="4"/>
    </row>
    <row r="389" spans="1:11" s="12" customFormat="1" hidden="1" x14ac:dyDescent="0.3">
      <c r="A389" s="17" t="s">
        <v>448</v>
      </c>
      <c r="B389" s="17" t="s">
        <v>449</v>
      </c>
      <c r="D389" s="6"/>
      <c r="E389" s="4"/>
      <c r="F389" s="4"/>
      <c r="G389" s="4"/>
      <c r="H389" s="4"/>
      <c r="I389" s="4"/>
      <c r="J389" s="4"/>
      <c r="K389" s="4"/>
    </row>
    <row r="390" spans="1:11" s="12" customFormat="1" hidden="1" x14ac:dyDescent="0.3">
      <c r="A390" s="17" t="s">
        <v>450</v>
      </c>
      <c r="B390" s="17" t="s">
        <v>451</v>
      </c>
      <c r="D390" s="6"/>
      <c r="E390" s="4"/>
      <c r="F390" s="4"/>
      <c r="G390" s="4"/>
      <c r="H390" s="4"/>
      <c r="I390" s="4"/>
      <c r="J390" s="4"/>
      <c r="K390" s="4"/>
    </row>
    <row r="391" spans="1:11" s="12" customFormat="1" hidden="1" x14ac:dyDescent="0.3">
      <c r="A391" s="17" t="s">
        <v>452</v>
      </c>
      <c r="B391" s="17" t="s">
        <v>453</v>
      </c>
      <c r="D391" s="6"/>
      <c r="E391" s="4"/>
      <c r="F391" s="4"/>
      <c r="G391" s="4"/>
      <c r="H391" s="4"/>
      <c r="I391" s="4"/>
      <c r="J391" s="4"/>
      <c r="K391" s="4"/>
    </row>
    <row r="392" spans="1:11" s="12" customFormat="1" hidden="1" x14ac:dyDescent="0.3">
      <c r="A392" s="17" t="s">
        <v>454</v>
      </c>
      <c r="B392" s="17" t="s">
        <v>455</v>
      </c>
      <c r="D392" s="6"/>
      <c r="E392" s="4"/>
      <c r="F392" s="4"/>
      <c r="G392" s="4"/>
      <c r="H392" s="4"/>
      <c r="I392" s="4"/>
      <c r="J392" s="4"/>
      <c r="K392" s="4"/>
    </row>
    <row r="393" spans="1:11" s="12" customFormat="1" hidden="1" x14ac:dyDescent="0.3">
      <c r="A393" s="17" t="s">
        <v>456</v>
      </c>
      <c r="B393" s="17" t="s">
        <v>457</v>
      </c>
      <c r="D393" s="6"/>
      <c r="E393" s="4"/>
      <c r="F393" s="4"/>
      <c r="G393" s="4"/>
      <c r="H393" s="4"/>
      <c r="I393" s="4"/>
      <c r="J393" s="4"/>
      <c r="K393" s="4"/>
    </row>
    <row r="394" spans="1:11" s="12" customFormat="1" hidden="1" x14ac:dyDescent="0.3">
      <c r="A394" s="17" t="s">
        <v>458</v>
      </c>
      <c r="B394" s="17" t="s">
        <v>459</v>
      </c>
      <c r="D394" s="6"/>
      <c r="E394" s="4"/>
      <c r="F394" s="4"/>
      <c r="G394" s="4"/>
      <c r="H394" s="4"/>
      <c r="I394" s="4"/>
      <c r="J394" s="4"/>
      <c r="K394" s="4"/>
    </row>
    <row r="395" spans="1:11" s="12" customFormat="1" hidden="1" x14ac:dyDescent="0.3">
      <c r="A395" s="17" t="s">
        <v>460</v>
      </c>
      <c r="B395" s="17" t="s">
        <v>461</v>
      </c>
      <c r="D395" s="6"/>
      <c r="E395" s="4"/>
      <c r="F395" s="4"/>
      <c r="G395" s="4"/>
      <c r="H395" s="4"/>
      <c r="I395" s="4"/>
      <c r="J395" s="4"/>
      <c r="K395" s="4"/>
    </row>
    <row r="396" spans="1:11" s="12" customFormat="1" hidden="1" x14ac:dyDescent="0.3">
      <c r="A396" s="17" t="s">
        <v>462</v>
      </c>
      <c r="B396" s="17" t="s">
        <v>463</v>
      </c>
      <c r="D396" s="6"/>
      <c r="E396" s="4"/>
      <c r="F396" s="4"/>
      <c r="G396" s="4"/>
      <c r="H396" s="4"/>
      <c r="I396" s="4"/>
      <c r="J396" s="4"/>
      <c r="K396" s="4"/>
    </row>
    <row r="397" spans="1:11" s="12" customFormat="1" hidden="1" x14ac:dyDescent="0.3">
      <c r="A397" s="17" t="s">
        <v>464</v>
      </c>
      <c r="B397" s="17" t="s">
        <v>465</v>
      </c>
      <c r="D397" s="6"/>
      <c r="E397" s="4"/>
      <c r="F397" s="4"/>
      <c r="G397" s="4"/>
      <c r="H397" s="4"/>
      <c r="I397" s="4"/>
      <c r="J397" s="4"/>
      <c r="K397" s="4"/>
    </row>
    <row r="398" spans="1:11" s="12" customFormat="1" hidden="1" x14ac:dyDescent="0.3">
      <c r="A398" s="17" t="s">
        <v>466</v>
      </c>
      <c r="B398" s="17" t="s">
        <v>467</v>
      </c>
      <c r="D398" s="6"/>
      <c r="E398" s="4"/>
      <c r="F398" s="4"/>
      <c r="G398" s="4"/>
      <c r="H398" s="4"/>
      <c r="I398" s="4"/>
      <c r="J398" s="4"/>
      <c r="K398" s="4"/>
    </row>
    <row r="399" spans="1:11" s="12" customFormat="1" hidden="1" x14ac:dyDescent="0.3">
      <c r="A399" s="17" t="s">
        <v>468</v>
      </c>
      <c r="B399" s="17" t="s">
        <v>469</v>
      </c>
      <c r="D399" s="6"/>
      <c r="E399" s="4"/>
      <c r="F399" s="4"/>
      <c r="G399" s="4"/>
      <c r="H399" s="4"/>
      <c r="I399" s="4"/>
      <c r="J399" s="4"/>
      <c r="K399" s="4"/>
    </row>
    <row r="400" spans="1:11" s="12" customFormat="1" hidden="1" x14ac:dyDescent="0.3">
      <c r="A400" s="17" t="s">
        <v>470</v>
      </c>
      <c r="B400" s="17" t="s">
        <v>471</v>
      </c>
      <c r="D400" s="6"/>
      <c r="E400" s="4"/>
      <c r="F400" s="4"/>
      <c r="G400" s="4"/>
      <c r="H400" s="4"/>
      <c r="I400" s="4"/>
      <c r="J400" s="4"/>
      <c r="K400" s="4"/>
    </row>
    <row r="401" spans="1:11" s="12" customFormat="1" hidden="1" x14ac:dyDescent="0.3">
      <c r="A401" s="17" t="s">
        <v>472</v>
      </c>
      <c r="B401" s="17" t="s">
        <v>473</v>
      </c>
      <c r="D401" s="6"/>
      <c r="E401" s="4"/>
      <c r="F401" s="4"/>
      <c r="G401" s="4"/>
      <c r="H401" s="4"/>
      <c r="I401" s="4"/>
      <c r="J401" s="4"/>
      <c r="K401" s="4"/>
    </row>
    <row r="402" spans="1:11" s="12" customFormat="1" hidden="1" x14ac:dyDescent="0.3">
      <c r="A402" s="17" t="s">
        <v>474</v>
      </c>
      <c r="B402" s="17" t="s">
        <v>475</v>
      </c>
      <c r="D402" s="6"/>
      <c r="E402" s="4"/>
      <c r="F402" s="4"/>
      <c r="G402" s="4"/>
      <c r="H402" s="4"/>
      <c r="I402" s="4"/>
      <c r="J402" s="4"/>
      <c r="K402" s="4"/>
    </row>
    <row r="403" spans="1:11" s="12" customFormat="1" hidden="1" x14ac:dyDescent="0.3">
      <c r="A403" s="17" t="s">
        <v>476</v>
      </c>
      <c r="B403" s="17" t="s">
        <v>477</v>
      </c>
      <c r="D403" s="6"/>
      <c r="E403" s="4"/>
      <c r="F403" s="4"/>
      <c r="G403" s="4"/>
      <c r="H403" s="4"/>
      <c r="I403" s="4"/>
      <c r="J403" s="4"/>
      <c r="K403" s="4"/>
    </row>
    <row r="404" spans="1:11" s="12" customFormat="1" hidden="1" x14ac:dyDescent="0.3">
      <c r="A404" s="17" t="s">
        <v>478</v>
      </c>
      <c r="B404" s="17" t="s">
        <v>479</v>
      </c>
      <c r="D404" s="6"/>
      <c r="E404" s="4"/>
      <c r="F404" s="4"/>
      <c r="G404" s="4"/>
      <c r="H404" s="4"/>
      <c r="I404" s="4"/>
      <c r="J404" s="4"/>
      <c r="K404" s="4"/>
    </row>
    <row r="405" spans="1:11" s="12" customFormat="1" hidden="1" x14ac:dyDescent="0.3">
      <c r="A405" s="17" t="s">
        <v>480</v>
      </c>
      <c r="B405" s="17" t="s">
        <v>481</v>
      </c>
      <c r="D405" s="6"/>
      <c r="E405" s="4"/>
      <c r="F405" s="4"/>
      <c r="G405" s="4"/>
      <c r="H405" s="4"/>
      <c r="I405" s="4"/>
      <c r="J405" s="4"/>
      <c r="K405" s="4"/>
    </row>
    <row r="406" spans="1:11" s="12" customFormat="1" hidden="1" x14ac:dyDescent="0.3">
      <c r="A406" s="17" t="s">
        <v>482</v>
      </c>
      <c r="B406" s="17" t="s">
        <v>483</v>
      </c>
      <c r="D406" s="6"/>
      <c r="E406" s="4"/>
      <c r="F406" s="4"/>
      <c r="G406" s="4"/>
      <c r="H406" s="4"/>
      <c r="I406" s="4"/>
      <c r="J406" s="4"/>
      <c r="K406" s="4"/>
    </row>
    <row r="407" spans="1:11" s="12" customFormat="1" hidden="1" x14ac:dyDescent="0.3">
      <c r="A407" s="17" t="s">
        <v>484</v>
      </c>
      <c r="B407" s="17" t="s">
        <v>485</v>
      </c>
      <c r="D407" s="6"/>
      <c r="E407" s="4"/>
      <c r="F407" s="4"/>
      <c r="G407" s="4"/>
      <c r="H407" s="4"/>
      <c r="I407" s="4"/>
      <c r="J407" s="4"/>
      <c r="K407" s="4"/>
    </row>
    <row r="408" spans="1:11" s="12" customFormat="1" hidden="1" x14ac:dyDescent="0.3">
      <c r="A408" s="17" t="s">
        <v>486</v>
      </c>
      <c r="B408" s="17" t="s">
        <v>487</v>
      </c>
      <c r="D408" s="6"/>
      <c r="E408" s="4"/>
      <c r="F408" s="4"/>
      <c r="G408" s="4"/>
      <c r="H408" s="4"/>
      <c r="I408" s="4"/>
      <c r="J408" s="4"/>
      <c r="K408" s="4"/>
    </row>
    <row r="409" spans="1:11" s="12" customFormat="1" hidden="1" x14ac:dyDescent="0.3">
      <c r="A409" s="17" t="s">
        <v>488</v>
      </c>
      <c r="B409" s="17" t="s">
        <v>489</v>
      </c>
      <c r="D409" s="6"/>
      <c r="E409" s="4"/>
      <c r="F409" s="4"/>
      <c r="G409" s="4"/>
      <c r="H409" s="4"/>
      <c r="I409" s="4"/>
      <c r="J409" s="4"/>
      <c r="K409" s="4"/>
    </row>
    <row r="410" spans="1:11" s="12" customFormat="1" hidden="1" x14ac:dyDescent="0.3">
      <c r="A410" s="17" t="s">
        <v>490</v>
      </c>
      <c r="B410" s="17" t="s">
        <v>491</v>
      </c>
      <c r="D410" s="6"/>
      <c r="E410" s="4"/>
      <c r="F410" s="4"/>
      <c r="G410" s="4"/>
      <c r="H410" s="4"/>
      <c r="I410" s="4"/>
      <c r="J410" s="4"/>
      <c r="K410" s="4"/>
    </row>
    <row r="411" spans="1:11" s="12" customFormat="1" hidden="1" x14ac:dyDescent="0.3">
      <c r="A411" s="17" t="s">
        <v>492</v>
      </c>
      <c r="B411" s="17" t="s">
        <v>493</v>
      </c>
      <c r="D411" s="6"/>
      <c r="E411" s="4"/>
      <c r="F411" s="4"/>
      <c r="G411" s="4"/>
      <c r="H411" s="4"/>
      <c r="I411" s="4"/>
      <c r="J411" s="4"/>
      <c r="K411" s="4"/>
    </row>
    <row r="412" spans="1:11" s="12" customFormat="1" hidden="1" x14ac:dyDescent="0.3">
      <c r="A412" s="17" t="s">
        <v>494</v>
      </c>
      <c r="B412" s="17" t="s">
        <v>495</v>
      </c>
      <c r="D412" s="6"/>
      <c r="E412" s="4"/>
      <c r="F412" s="4"/>
      <c r="G412" s="4"/>
      <c r="H412" s="4"/>
      <c r="I412" s="4"/>
      <c r="J412" s="4"/>
      <c r="K412" s="4"/>
    </row>
    <row r="413" spans="1:11" s="12" customFormat="1" hidden="1" x14ac:dyDescent="0.3">
      <c r="A413" s="17" t="s">
        <v>496</v>
      </c>
      <c r="B413" s="17" t="s">
        <v>497</v>
      </c>
      <c r="D413" s="6"/>
      <c r="E413" s="4"/>
      <c r="F413" s="4"/>
      <c r="G413" s="4"/>
      <c r="H413" s="4"/>
      <c r="I413" s="4"/>
      <c r="J413" s="4"/>
      <c r="K413" s="4"/>
    </row>
    <row r="414" spans="1:11" s="12" customFormat="1" hidden="1" x14ac:dyDescent="0.3">
      <c r="A414" s="17" t="s">
        <v>498</v>
      </c>
      <c r="B414" s="17" t="s">
        <v>499</v>
      </c>
      <c r="D414" s="6"/>
      <c r="E414" s="4"/>
      <c r="F414" s="4"/>
      <c r="G414" s="4"/>
      <c r="H414" s="4"/>
      <c r="I414" s="4"/>
      <c r="J414" s="4"/>
      <c r="K414" s="4"/>
    </row>
    <row r="415" spans="1:11" s="12" customFormat="1" hidden="1" x14ac:dyDescent="0.3">
      <c r="A415" s="17" t="s">
        <v>500</v>
      </c>
      <c r="B415" s="17" t="s">
        <v>501</v>
      </c>
      <c r="D415" s="6"/>
      <c r="E415" s="4"/>
      <c r="F415" s="4"/>
      <c r="G415" s="4"/>
      <c r="H415" s="4"/>
      <c r="I415" s="4"/>
      <c r="J415" s="4"/>
      <c r="K415" s="4"/>
    </row>
    <row r="416" spans="1:11" s="12" customFormat="1" hidden="1" x14ac:dyDescent="0.3">
      <c r="A416" s="17" t="s">
        <v>502</v>
      </c>
      <c r="B416" s="17" t="s">
        <v>503</v>
      </c>
      <c r="D416" s="6"/>
      <c r="E416" s="4"/>
      <c r="F416" s="4"/>
      <c r="G416" s="4"/>
      <c r="H416" s="4"/>
      <c r="I416" s="4"/>
      <c r="J416" s="4"/>
      <c r="K416" s="4"/>
    </row>
    <row r="417" spans="1:11" s="12" customFormat="1" hidden="1" x14ac:dyDescent="0.3">
      <c r="A417" s="17" t="s">
        <v>504</v>
      </c>
      <c r="B417" s="17" t="s">
        <v>505</v>
      </c>
      <c r="D417" s="6"/>
      <c r="E417" s="4"/>
      <c r="F417" s="4"/>
      <c r="G417" s="4"/>
      <c r="H417" s="4"/>
      <c r="I417" s="4"/>
      <c r="J417" s="4"/>
      <c r="K417" s="4"/>
    </row>
    <row r="418" spans="1:11" s="12" customFormat="1" hidden="1" x14ac:dyDescent="0.3">
      <c r="A418" s="17" t="s">
        <v>506</v>
      </c>
      <c r="B418" s="17" t="s">
        <v>507</v>
      </c>
      <c r="D418" s="6"/>
      <c r="E418" s="4"/>
      <c r="F418" s="4"/>
      <c r="G418" s="4"/>
      <c r="H418" s="4"/>
      <c r="I418" s="4"/>
      <c r="J418" s="4"/>
      <c r="K418" s="4"/>
    </row>
    <row r="419" spans="1:11" s="12" customFormat="1" hidden="1" x14ac:dyDescent="0.3">
      <c r="A419" s="17" t="s">
        <v>508</v>
      </c>
      <c r="B419" s="17" t="s">
        <v>509</v>
      </c>
      <c r="D419" s="6"/>
      <c r="E419" s="4"/>
      <c r="F419" s="4"/>
      <c r="G419" s="4"/>
      <c r="H419" s="4"/>
      <c r="I419" s="4"/>
      <c r="J419" s="4"/>
      <c r="K419" s="4"/>
    </row>
    <row r="420" spans="1:11" s="12" customFormat="1" hidden="1" x14ac:dyDescent="0.3">
      <c r="A420" s="17" t="s">
        <v>510</v>
      </c>
      <c r="B420" s="17" t="s">
        <v>511</v>
      </c>
      <c r="D420" s="6"/>
      <c r="E420" s="4"/>
      <c r="F420" s="4"/>
      <c r="G420" s="4"/>
      <c r="H420" s="4"/>
      <c r="I420" s="4"/>
      <c r="J420" s="4"/>
      <c r="K420" s="4"/>
    </row>
    <row r="421" spans="1:11" s="12" customFormat="1" hidden="1" x14ac:dyDescent="0.3">
      <c r="A421" s="17" t="s">
        <v>512</v>
      </c>
      <c r="B421" s="17" t="s">
        <v>513</v>
      </c>
      <c r="D421" s="6"/>
      <c r="E421" s="4"/>
      <c r="F421" s="4"/>
      <c r="G421" s="4"/>
      <c r="H421" s="4"/>
      <c r="I421" s="4"/>
      <c r="J421" s="4"/>
      <c r="K421" s="4"/>
    </row>
    <row r="422" spans="1:11" s="12" customFormat="1" hidden="1" x14ac:dyDescent="0.3">
      <c r="A422" s="17" t="s">
        <v>514</v>
      </c>
      <c r="B422" s="17" t="s">
        <v>515</v>
      </c>
      <c r="D422" s="6"/>
      <c r="E422" s="4"/>
      <c r="F422" s="4"/>
      <c r="G422" s="4"/>
      <c r="H422" s="4"/>
      <c r="I422" s="4"/>
      <c r="J422" s="4"/>
      <c r="K422" s="4"/>
    </row>
    <row r="423" spans="1:11" s="12" customFormat="1" hidden="1" x14ac:dyDescent="0.3">
      <c r="A423" s="17" t="s">
        <v>516</v>
      </c>
      <c r="B423" s="17" t="s">
        <v>517</v>
      </c>
      <c r="D423" s="6"/>
      <c r="E423" s="4"/>
      <c r="F423" s="4"/>
      <c r="G423" s="4"/>
      <c r="H423" s="4"/>
      <c r="I423" s="4"/>
      <c r="J423" s="4"/>
      <c r="K423" s="4"/>
    </row>
    <row r="424" spans="1:11" s="12" customFormat="1" hidden="1" x14ac:dyDescent="0.3">
      <c r="A424" s="17" t="s">
        <v>518</v>
      </c>
      <c r="B424" s="17" t="s">
        <v>519</v>
      </c>
      <c r="D424" s="6"/>
      <c r="E424" s="4"/>
      <c r="F424" s="4"/>
      <c r="G424" s="4"/>
      <c r="H424" s="4"/>
      <c r="I424" s="4"/>
      <c r="J424" s="4"/>
      <c r="K424" s="4"/>
    </row>
    <row r="425" spans="1:11" s="12" customFormat="1" hidden="1" x14ac:dyDescent="0.3">
      <c r="A425" s="17" t="s">
        <v>520</v>
      </c>
      <c r="B425" s="17" t="s">
        <v>521</v>
      </c>
      <c r="D425" s="6"/>
      <c r="E425" s="4"/>
      <c r="F425" s="4"/>
      <c r="G425" s="4"/>
      <c r="H425" s="4"/>
      <c r="I425" s="4"/>
      <c r="J425" s="4"/>
      <c r="K425" s="4"/>
    </row>
    <row r="426" spans="1:11" s="12" customFormat="1" hidden="1" x14ac:dyDescent="0.3">
      <c r="A426" s="17" t="s">
        <v>522</v>
      </c>
      <c r="B426" s="17" t="s">
        <v>523</v>
      </c>
      <c r="D426" s="6"/>
      <c r="E426" s="4"/>
      <c r="F426" s="4"/>
      <c r="G426" s="4"/>
      <c r="H426" s="4"/>
      <c r="I426" s="4"/>
      <c r="J426" s="4"/>
      <c r="K426" s="4"/>
    </row>
    <row r="427" spans="1:11" s="12" customFormat="1" hidden="1" x14ac:dyDescent="0.3">
      <c r="A427" s="17" t="s">
        <v>524</v>
      </c>
      <c r="B427" s="17" t="s">
        <v>525</v>
      </c>
      <c r="D427" s="6"/>
      <c r="E427" s="4"/>
      <c r="F427" s="4"/>
      <c r="G427" s="4"/>
      <c r="H427" s="4"/>
      <c r="I427" s="4"/>
      <c r="J427" s="4"/>
      <c r="K427" s="4"/>
    </row>
    <row r="428" spans="1:11" s="12" customFormat="1" hidden="1" x14ac:dyDescent="0.3">
      <c r="A428" s="17" t="s">
        <v>526</v>
      </c>
      <c r="B428" s="17" t="s">
        <v>527</v>
      </c>
      <c r="D428" s="6"/>
      <c r="E428" s="4"/>
      <c r="F428" s="4"/>
      <c r="G428" s="4"/>
      <c r="H428" s="4"/>
      <c r="I428" s="4"/>
      <c r="J428" s="4"/>
      <c r="K428" s="4"/>
    </row>
    <row r="429" spans="1:11" s="12" customFormat="1" hidden="1" x14ac:dyDescent="0.3">
      <c r="A429" s="17" t="s">
        <v>528</v>
      </c>
      <c r="B429" s="17" t="s">
        <v>529</v>
      </c>
      <c r="D429" s="6"/>
      <c r="E429" s="4"/>
      <c r="F429" s="4"/>
      <c r="G429" s="4"/>
      <c r="H429" s="4"/>
      <c r="I429" s="4"/>
      <c r="J429" s="4"/>
      <c r="K429" s="4"/>
    </row>
    <row r="430" spans="1:11" s="12" customFormat="1" hidden="1" x14ac:dyDescent="0.3">
      <c r="A430" s="17" t="s">
        <v>530</v>
      </c>
      <c r="B430" s="17" t="s">
        <v>531</v>
      </c>
      <c r="D430" s="6"/>
      <c r="E430" s="4"/>
      <c r="F430" s="4"/>
      <c r="G430" s="4"/>
      <c r="H430" s="4"/>
      <c r="I430" s="4"/>
      <c r="J430" s="4"/>
      <c r="K430" s="4"/>
    </row>
    <row r="431" spans="1:11" s="12" customFormat="1" hidden="1" x14ac:dyDescent="0.3">
      <c r="A431" s="17" t="s">
        <v>532</v>
      </c>
      <c r="B431" s="17" t="s">
        <v>533</v>
      </c>
      <c r="D431" s="6"/>
      <c r="E431" s="4"/>
      <c r="F431" s="4"/>
      <c r="G431" s="4"/>
      <c r="H431" s="4"/>
      <c r="I431" s="4"/>
      <c r="J431" s="4"/>
      <c r="K431" s="4"/>
    </row>
    <row r="432" spans="1:11" s="12" customFormat="1" hidden="1" x14ac:dyDescent="0.3">
      <c r="A432" s="17" t="s">
        <v>534</v>
      </c>
      <c r="B432" s="17" t="s">
        <v>535</v>
      </c>
      <c r="D432" s="6"/>
      <c r="E432" s="4"/>
      <c r="F432" s="4"/>
      <c r="G432" s="4"/>
      <c r="H432" s="4"/>
      <c r="I432" s="4"/>
      <c r="J432" s="4"/>
      <c r="K432" s="4"/>
    </row>
    <row r="433" spans="1:11" s="12" customFormat="1" hidden="1" x14ac:dyDescent="0.3">
      <c r="A433" s="17" t="s">
        <v>536</v>
      </c>
      <c r="B433" s="17" t="s">
        <v>537</v>
      </c>
      <c r="D433" s="6"/>
      <c r="E433" s="4"/>
      <c r="F433" s="4"/>
      <c r="G433" s="4"/>
      <c r="H433" s="4"/>
      <c r="I433" s="4"/>
      <c r="J433" s="4"/>
      <c r="K433" s="4"/>
    </row>
    <row r="434" spans="1:11" s="12" customFormat="1" hidden="1" x14ac:dyDescent="0.3">
      <c r="A434" s="17" t="s">
        <v>623</v>
      </c>
      <c r="B434" s="17" t="s">
        <v>631</v>
      </c>
      <c r="D434" s="6"/>
      <c r="E434" s="4"/>
      <c r="F434" s="4"/>
      <c r="G434" s="4"/>
      <c r="H434" s="4"/>
      <c r="I434" s="4"/>
      <c r="J434" s="4"/>
      <c r="K434" s="4"/>
    </row>
    <row r="435" spans="1:11" s="12" customFormat="1" hidden="1" x14ac:dyDescent="0.3">
      <c r="A435" s="17" t="s">
        <v>624</v>
      </c>
      <c r="B435" s="17" t="s">
        <v>632</v>
      </c>
      <c r="D435" s="6"/>
      <c r="E435" s="4"/>
      <c r="F435" s="4"/>
      <c r="G435" s="4"/>
      <c r="H435" s="4"/>
      <c r="I435" s="4"/>
      <c r="J435" s="4"/>
      <c r="K435" s="4"/>
    </row>
    <row r="436" spans="1:11" s="12" customFormat="1" hidden="1" x14ac:dyDescent="0.3">
      <c r="A436" s="17" t="s">
        <v>625</v>
      </c>
      <c r="B436" s="17" t="s">
        <v>633</v>
      </c>
      <c r="D436" s="6"/>
      <c r="E436" s="4"/>
      <c r="F436" s="4"/>
      <c r="G436" s="4"/>
      <c r="H436" s="4"/>
      <c r="I436" s="4"/>
      <c r="J436" s="4"/>
      <c r="K436" s="4"/>
    </row>
    <row r="437" spans="1:11" s="12" customFormat="1" hidden="1" x14ac:dyDescent="0.3">
      <c r="A437" s="17" t="s">
        <v>626</v>
      </c>
      <c r="B437" s="17" t="s">
        <v>634</v>
      </c>
      <c r="D437" s="6"/>
      <c r="E437" s="4"/>
      <c r="F437" s="4"/>
      <c r="G437" s="4"/>
      <c r="H437" s="4"/>
      <c r="I437" s="4"/>
      <c r="J437" s="4"/>
      <c r="K437" s="4"/>
    </row>
    <row r="438" spans="1:11" s="12" customFormat="1" hidden="1" x14ac:dyDescent="0.3">
      <c r="A438" s="17" t="s">
        <v>652</v>
      </c>
      <c r="B438" s="17"/>
      <c r="D438" s="6"/>
      <c r="E438" s="4"/>
      <c r="F438" s="4"/>
      <c r="G438" s="4"/>
      <c r="H438" s="4"/>
      <c r="I438" s="4"/>
      <c r="J438" s="4"/>
      <c r="K438" s="4"/>
    </row>
    <row r="439" spans="1:11" s="12" customFormat="1" hidden="1" x14ac:dyDescent="0.3">
      <c r="A439" s="17" t="s">
        <v>653</v>
      </c>
      <c r="B439" s="17"/>
      <c r="D439" s="6"/>
      <c r="E439" s="4"/>
      <c r="F439" s="4"/>
      <c r="G439" s="4"/>
      <c r="H439" s="4"/>
      <c r="I439" s="4"/>
      <c r="J439" s="4"/>
      <c r="K439" s="4"/>
    </row>
    <row r="440" spans="1:11" s="12" customFormat="1" hidden="1" x14ac:dyDescent="0.3">
      <c r="A440" s="17" t="s">
        <v>654</v>
      </c>
      <c r="B440" s="17"/>
      <c r="D440" s="6"/>
      <c r="E440" s="4"/>
      <c r="F440" s="4"/>
      <c r="G440" s="4"/>
      <c r="H440" s="4"/>
      <c r="I440" s="4"/>
      <c r="J440" s="4"/>
      <c r="K440" s="4"/>
    </row>
    <row r="441" spans="1:11" s="12" customFormat="1" hidden="1" x14ac:dyDescent="0.3">
      <c r="A441" s="17" t="s">
        <v>655</v>
      </c>
      <c r="B441" s="17"/>
      <c r="D441" s="6"/>
      <c r="E441" s="4"/>
      <c r="F441" s="4"/>
      <c r="G441" s="4"/>
      <c r="H441" s="4"/>
      <c r="I441" s="4"/>
      <c r="J441" s="4"/>
      <c r="K441" s="4"/>
    </row>
    <row r="442" spans="1:11" s="12" customFormat="1" hidden="1" x14ac:dyDescent="0.3">
      <c r="A442" s="17" t="s">
        <v>656</v>
      </c>
      <c r="B442" s="17"/>
      <c r="D442" s="6"/>
      <c r="E442" s="4"/>
      <c r="F442" s="4"/>
      <c r="G442" s="4"/>
      <c r="H442" s="4"/>
      <c r="I442" s="4"/>
      <c r="J442" s="4"/>
      <c r="K442" s="4"/>
    </row>
    <row r="443" spans="1:11" hidden="1" x14ac:dyDescent="0.3"/>
    <row r="444" spans="1:11" hidden="1" x14ac:dyDescent="0.3"/>
    <row r="445" spans="1:11" hidden="1" x14ac:dyDescent="0.3"/>
  </sheetData>
  <sheetProtection algorithmName="SHA-512" hashValue="JbWCicrvMisR7V4qLrottt11uqnAUvWStHwDMsbHXp7K4EzDcfPX42V/3SGq6xKXZCAhGqBYNFiF3jEzU6f5qw==" saltValue="nT7QOExtYCVcRcUUma/qyw==" spinCount="100000" sheet="1" objects="1" scenarios="1"/>
  <mergeCells count="2">
    <mergeCell ref="A1:D1"/>
    <mergeCell ref="C2:D2"/>
  </mergeCells>
  <phoneticPr fontId="18" type="noConversion"/>
  <dataValidations count="2">
    <dataValidation type="list" showInputMessage="1" showErrorMessage="1" errorTitle="Ref PO" error="Reference Purchase Organisation is Must" promptTitle="Reference Purchase organisation" prompt="Reference Purchase Organisation is Must" sqref="C6 C8" xr:uid="{FBA0AB7E-9795-4C83-8E31-CD373A4A11C2}">
      <formula1>$A$169:$A$365</formula1>
    </dataValidation>
    <dataValidation type="list" showInputMessage="1" showErrorMessage="1" errorTitle="company code" error="Company Code is must" promptTitle="Company code" prompt="Company Code is must" sqref="C5 C7" xr:uid="{E3A8A036-BE13-401A-948B-7AD3A3954932}">
      <formula1>$A$368:$A$442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E9BA9-AC14-46CD-8911-AF4978BC637D}">
  <dimension ref="A1:H32"/>
  <sheetViews>
    <sheetView workbookViewId="0">
      <selection activeCell="C2" sqref="C2"/>
    </sheetView>
  </sheetViews>
  <sheetFormatPr defaultColWidth="9.109375" defaultRowHeight="14.4" x14ac:dyDescent="0.3"/>
  <cols>
    <col min="1" max="1" width="13.44140625" style="4" customWidth="1"/>
    <col min="2" max="2" width="44.44140625" style="12" customWidth="1"/>
    <col min="3" max="3" width="36.33203125" style="6" customWidth="1"/>
    <col min="4" max="4" width="9.109375" style="4"/>
    <col min="5" max="5" width="31.109375" style="4" bestFit="1" customWidth="1"/>
    <col min="6" max="6" width="17.44140625" style="4" bestFit="1" customWidth="1"/>
    <col min="7" max="7" width="9.109375" style="4"/>
    <col min="8" max="8" width="9.6640625" style="4" bestFit="1" customWidth="1"/>
    <col min="9" max="16384" width="9.109375" style="4"/>
  </cols>
  <sheetData>
    <row r="1" spans="1:3" ht="15" thickBot="1" x14ac:dyDescent="0.35">
      <c r="A1" s="166" t="s">
        <v>665</v>
      </c>
      <c r="B1" s="167"/>
      <c r="C1" s="168"/>
    </row>
    <row r="2" spans="1:3" ht="15" thickBot="1" x14ac:dyDescent="0.35">
      <c r="A2" s="32" t="s">
        <v>3</v>
      </c>
      <c r="B2" s="1" t="s">
        <v>0</v>
      </c>
      <c r="C2" s="37" t="s">
        <v>1</v>
      </c>
    </row>
    <row r="3" spans="1:3" ht="29.4" thickBot="1" x14ac:dyDescent="0.35">
      <c r="A3" s="35">
        <v>1</v>
      </c>
      <c r="B3" s="50" t="s">
        <v>657</v>
      </c>
      <c r="C3" s="45" t="s">
        <v>645</v>
      </c>
    </row>
    <row r="4" spans="1:3" ht="15" thickBot="1" x14ac:dyDescent="0.35">
      <c r="A4" s="36">
        <v>2</v>
      </c>
      <c r="B4" s="51" t="s">
        <v>658</v>
      </c>
      <c r="C4" s="38" t="s">
        <v>583</v>
      </c>
    </row>
    <row r="5" spans="1:3" ht="15" thickBot="1" x14ac:dyDescent="0.35">
      <c r="A5" s="35">
        <v>3</v>
      </c>
      <c r="B5" s="42" t="s">
        <v>659</v>
      </c>
      <c r="C5" s="38" t="s">
        <v>582</v>
      </c>
    </row>
    <row r="6" spans="1:3" ht="21.6" customHeight="1" thickBot="1" x14ac:dyDescent="0.35">
      <c r="A6" s="36">
        <v>4</v>
      </c>
      <c r="B6" s="42" t="s">
        <v>660</v>
      </c>
      <c r="C6" s="9"/>
    </row>
    <row r="7" spans="1:3" ht="15" thickBot="1" x14ac:dyDescent="0.35">
      <c r="A7" s="33">
        <v>5</v>
      </c>
      <c r="B7" s="41" t="s">
        <v>546</v>
      </c>
      <c r="C7" s="9" t="s">
        <v>580</v>
      </c>
    </row>
    <row r="8" spans="1:3" ht="15" thickBot="1" x14ac:dyDescent="0.35">
      <c r="A8" s="36">
        <v>6</v>
      </c>
      <c r="B8" s="41" t="s">
        <v>545</v>
      </c>
      <c r="C8" s="10">
        <v>262722</v>
      </c>
    </row>
    <row r="9" spans="1:3" ht="15" thickBot="1" x14ac:dyDescent="0.35">
      <c r="A9" s="33">
        <v>7</v>
      </c>
      <c r="B9" s="42" t="s">
        <v>544</v>
      </c>
      <c r="C9" s="9" t="s">
        <v>581</v>
      </c>
    </row>
    <row r="10" spans="1:3" ht="15" thickBot="1" x14ac:dyDescent="0.35">
      <c r="A10" s="34">
        <v>8</v>
      </c>
      <c r="B10" s="51" t="s">
        <v>666</v>
      </c>
      <c r="C10" s="9" t="s">
        <v>182</v>
      </c>
    </row>
    <row r="11" spans="1:3" ht="15" thickBot="1" x14ac:dyDescent="0.35">
      <c r="A11" s="35">
        <v>9</v>
      </c>
      <c r="B11" s="42" t="s">
        <v>26</v>
      </c>
      <c r="C11" s="9">
        <v>9988877711</v>
      </c>
    </row>
    <row r="12" spans="1:3" ht="15" thickBot="1" x14ac:dyDescent="0.35">
      <c r="A12" s="36">
        <v>10</v>
      </c>
      <c r="B12" s="43" t="s">
        <v>28</v>
      </c>
      <c r="C12" s="10"/>
    </row>
    <row r="13" spans="1:3" ht="15" thickBot="1" x14ac:dyDescent="0.35">
      <c r="A13" s="33">
        <v>11</v>
      </c>
      <c r="B13" s="42" t="s">
        <v>30</v>
      </c>
      <c r="C13" s="9" t="s">
        <v>644</v>
      </c>
    </row>
    <row r="14" spans="1:3" ht="15" thickBot="1" x14ac:dyDescent="0.35">
      <c r="A14" s="36">
        <v>12</v>
      </c>
      <c r="B14" s="42" t="s">
        <v>32</v>
      </c>
      <c r="C14" s="44"/>
    </row>
    <row r="15" spans="1:3" ht="16.2" thickBot="1" x14ac:dyDescent="0.35">
      <c r="A15" s="33">
        <v>13</v>
      </c>
      <c r="B15" s="42" t="s">
        <v>570</v>
      </c>
      <c r="C15" s="90" t="s">
        <v>579</v>
      </c>
    </row>
    <row r="16" spans="1:3" ht="16.2" thickBot="1" x14ac:dyDescent="0.35">
      <c r="A16" s="34">
        <v>14</v>
      </c>
      <c r="B16" s="42" t="s">
        <v>571</v>
      </c>
      <c r="C16" s="46" t="s">
        <v>636</v>
      </c>
    </row>
    <row r="17" spans="1:8" ht="15" thickBot="1" x14ac:dyDescent="0.35">
      <c r="A17" s="33">
        <v>15</v>
      </c>
      <c r="B17" s="88" t="s">
        <v>667</v>
      </c>
      <c r="C17" s="87" t="s">
        <v>668</v>
      </c>
    </row>
    <row r="18" spans="1:8" ht="15" thickBot="1" x14ac:dyDescent="0.35">
      <c r="A18" s="34">
        <v>16</v>
      </c>
      <c r="B18" s="42" t="s">
        <v>638</v>
      </c>
      <c r="C18" s="5" t="s">
        <v>637</v>
      </c>
    </row>
    <row r="19" spans="1:8" ht="15" thickBot="1" x14ac:dyDescent="0.35">
      <c r="A19" s="35">
        <v>17</v>
      </c>
      <c r="B19" s="42" t="s">
        <v>49</v>
      </c>
      <c r="C19" s="47">
        <v>44601</v>
      </c>
    </row>
    <row r="20" spans="1:8" ht="15" thickBot="1" x14ac:dyDescent="0.35">
      <c r="A20" s="34">
        <v>18</v>
      </c>
      <c r="B20" s="42" t="s">
        <v>669</v>
      </c>
      <c r="C20" s="52" t="s">
        <v>661</v>
      </c>
    </row>
    <row r="21" spans="1:8" ht="29.4" thickBot="1" x14ac:dyDescent="0.35">
      <c r="A21" s="33">
        <v>19</v>
      </c>
      <c r="B21" s="42" t="s">
        <v>553</v>
      </c>
      <c r="C21" s="45" t="s">
        <v>645</v>
      </c>
    </row>
    <row r="22" spans="1:8" ht="15" thickBot="1" x14ac:dyDescent="0.35">
      <c r="A22" s="36">
        <v>20</v>
      </c>
      <c r="B22" s="42" t="s">
        <v>554</v>
      </c>
      <c r="C22" s="11" t="s">
        <v>646</v>
      </c>
    </row>
    <row r="31" spans="1:8" x14ac:dyDescent="0.3">
      <c r="H31" s="48"/>
    </row>
    <row r="32" spans="1:8" x14ac:dyDescent="0.3">
      <c r="H32" s="48"/>
    </row>
  </sheetData>
  <sheetProtection formatCells="0" formatColumns="0" formatRows="0" insertColumns="0" insertRows="0" selectLockedCells="1"/>
  <mergeCells count="1">
    <mergeCell ref="A1:C1"/>
  </mergeCells>
  <hyperlinks>
    <hyperlink ref="C13" r:id="rId1" xr:uid="{9EE1893A-8798-4EEF-8596-497E829A3E31}"/>
  </hyperlinks>
  <pageMargins left="0.7" right="0.7" top="0.75" bottom="0.75" header="0.3" footer="0.3"/>
  <pageSetup orientation="portrait" horizontalDpi="4294967295" verticalDpi="4294967295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E0857-BA7D-4DB9-B181-C742E47D589E}">
  <sheetPr>
    <pageSetUpPr fitToPage="1"/>
  </sheetPr>
  <dimension ref="A1:G29"/>
  <sheetViews>
    <sheetView workbookViewId="0">
      <selection activeCell="C1" sqref="C1:E1"/>
    </sheetView>
  </sheetViews>
  <sheetFormatPr defaultRowHeight="13.2" x14ac:dyDescent="0.3"/>
  <cols>
    <col min="1" max="1" width="16" style="135" customWidth="1"/>
    <col min="2" max="2" width="44.6640625" style="135" bestFit="1" customWidth="1"/>
    <col min="3" max="3" width="17.44140625" style="135" bestFit="1" customWidth="1"/>
    <col min="4" max="4" width="10.33203125" style="135" bestFit="1" customWidth="1"/>
    <col min="5" max="5" width="16" style="135" customWidth="1"/>
    <col min="6" max="6" width="44.6640625" style="135" customWidth="1"/>
    <col min="7" max="7" width="17.44140625" style="135" bestFit="1" customWidth="1"/>
    <col min="8" max="16384" width="8.88671875" style="135"/>
  </cols>
  <sheetData>
    <row r="1" spans="1:7" ht="21" x14ac:dyDescent="0.3">
      <c r="C1" s="169" t="s">
        <v>810</v>
      </c>
      <c r="D1" s="169"/>
      <c r="E1" s="169"/>
    </row>
    <row r="2" spans="1:7" ht="15" customHeight="1" x14ac:dyDescent="0.3"/>
    <row r="3" spans="1:7" ht="15" customHeight="1" x14ac:dyDescent="0.3"/>
    <row r="4" spans="1:7" ht="15.6" x14ac:dyDescent="0.3">
      <c r="A4" s="170" t="s">
        <v>811</v>
      </c>
      <c r="B4" s="170"/>
      <c r="C4" s="170"/>
      <c r="D4" s="136"/>
      <c r="E4" s="170" t="s">
        <v>812</v>
      </c>
      <c r="F4" s="170"/>
      <c r="G4" s="170"/>
    </row>
    <row r="5" spans="1:7" ht="13.8" x14ac:dyDescent="0.3">
      <c r="A5" s="137" t="s">
        <v>813</v>
      </c>
      <c r="B5" s="137" t="s">
        <v>539</v>
      </c>
      <c r="C5" s="137" t="s">
        <v>814</v>
      </c>
      <c r="D5" s="136"/>
      <c r="E5" s="137" t="s">
        <v>813</v>
      </c>
      <c r="F5" s="137" t="s">
        <v>539</v>
      </c>
      <c r="G5" s="137" t="s">
        <v>814</v>
      </c>
    </row>
    <row r="6" spans="1:7" ht="15" customHeight="1" x14ac:dyDescent="0.3">
      <c r="A6" s="138" t="s">
        <v>186</v>
      </c>
      <c r="B6" s="138" t="s">
        <v>815</v>
      </c>
      <c r="C6" s="139" t="s">
        <v>816</v>
      </c>
      <c r="D6" s="136"/>
      <c r="E6" s="138" t="s">
        <v>764</v>
      </c>
      <c r="F6" s="138" t="s">
        <v>765</v>
      </c>
      <c r="G6" s="140" t="s">
        <v>817</v>
      </c>
    </row>
    <row r="7" spans="1:7" ht="15" customHeight="1" x14ac:dyDescent="0.3">
      <c r="A7" s="138" t="s">
        <v>188</v>
      </c>
      <c r="B7" s="138" t="s">
        <v>818</v>
      </c>
      <c r="C7" s="139" t="s">
        <v>816</v>
      </c>
      <c r="D7" s="136"/>
      <c r="E7" s="138" t="s">
        <v>766</v>
      </c>
      <c r="F7" s="138" t="s">
        <v>767</v>
      </c>
      <c r="G7" s="140" t="s">
        <v>817</v>
      </c>
    </row>
    <row r="8" spans="1:7" ht="14.4" x14ac:dyDescent="0.3">
      <c r="A8" s="139" t="s">
        <v>816</v>
      </c>
      <c r="B8" s="139" t="s">
        <v>695</v>
      </c>
      <c r="C8" s="141"/>
      <c r="D8" s="136"/>
      <c r="E8" s="140" t="s">
        <v>817</v>
      </c>
      <c r="F8" s="140" t="s">
        <v>785</v>
      </c>
      <c r="G8" s="141"/>
    </row>
    <row r="9" spans="1:7" ht="15" customHeight="1" x14ac:dyDescent="0.3">
      <c r="A9" s="138" t="s">
        <v>190</v>
      </c>
      <c r="B9" s="138" t="s">
        <v>819</v>
      </c>
      <c r="C9" s="139" t="s">
        <v>820</v>
      </c>
      <c r="D9" s="136"/>
      <c r="E9" s="138" t="s">
        <v>768</v>
      </c>
      <c r="F9" s="138" t="s">
        <v>769</v>
      </c>
      <c r="G9" s="140" t="s">
        <v>821</v>
      </c>
    </row>
    <row r="10" spans="1:7" ht="15" customHeight="1" x14ac:dyDescent="0.3">
      <c r="A10" s="138" t="s">
        <v>192</v>
      </c>
      <c r="B10" s="138" t="s">
        <v>822</v>
      </c>
      <c r="C10" s="139" t="s">
        <v>820</v>
      </c>
      <c r="D10" s="136"/>
      <c r="E10" s="138" t="s">
        <v>770</v>
      </c>
      <c r="F10" s="138" t="s">
        <v>771</v>
      </c>
      <c r="G10" s="140" t="s">
        <v>821</v>
      </c>
    </row>
    <row r="11" spans="1:7" ht="15" customHeight="1" x14ac:dyDescent="0.3">
      <c r="A11" s="142" t="s">
        <v>823</v>
      </c>
      <c r="B11" s="142" t="s">
        <v>824</v>
      </c>
      <c r="C11" s="141"/>
      <c r="D11" s="136"/>
      <c r="E11" s="142" t="s">
        <v>825</v>
      </c>
      <c r="F11" s="142" t="s">
        <v>826</v>
      </c>
      <c r="G11" s="141"/>
    </row>
    <row r="12" spans="1:7" ht="15" customHeight="1" x14ac:dyDescent="0.3">
      <c r="A12" s="139" t="s">
        <v>820</v>
      </c>
      <c r="B12" s="139" t="s">
        <v>696</v>
      </c>
      <c r="C12" s="141"/>
      <c r="D12" s="136"/>
      <c r="E12" s="140" t="s">
        <v>821</v>
      </c>
      <c r="F12" s="140" t="s">
        <v>786</v>
      </c>
      <c r="G12" s="141"/>
    </row>
    <row r="13" spans="1:7" ht="15" customHeight="1" x14ac:dyDescent="0.3">
      <c r="A13" s="138" t="s">
        <v>194</v>
      </c>
      <c r="B13" s="138" t="s">
        <v>827</v>
      </c>
      <c r="C13" s="139" t="s">
        <v>828</v>
      </c>
      <c r="D13" s="136"/>
      <c r="E13" s="138" t="s">
        <v>772</v>
      </c>
      <c r="F13" s="138" t="s">
        <v>773</v>
      </c>
      <c r="G13" s="140" t="s">
        <v>829</v>
      </c>
    </row>
    <row r="14" spans="1:7" ht="15" customHeight="1" x14ac:dyDescent="0.3">
      <c r="A14" s="142" t="s">
        <v>830</v>
      </c>
      <c r="B14" s="142" t="s">
        <v>831</v>
      </c>
      <c r="C14" s="141"/>
      <c r="D14" s="136"/>
      <c r="E14" s="142" t="s">
        <v>832</v>
      </c>
      <c r="F14" s="142" t="s">
        <v>833</v>
      </c>
      <c r="G14" s="141"/>
    </row>
    <row r="15" spans="1:7" ht="15" customHeight="1" x14ac:dyDescent="0.3">
      <c r="A15" s="139" t="s">
        <v>828</v>
      </c>
      <c r="B15" s="139" t="s">
        <v>697</v>
      </c>
      <c r="C15" s="141"/>
      <c r="D15" s="136"/>
      <c r="E15" s="140" t="s">
        <v>829</v>
      </c>
      <c r="F15" s="140" t="s">
        <v>787</v>
      </c>
      <c r="G15" s="141"/>
    </row>
    <row r="16" spans="1:7" ht="15" customHeight="1" x14ac:dyDescent="0.3">
      <c r="A16" s="138" t="s">
        <v>196</v>
      </c>
      <c r="B16" s="138" t="s">
        <v>834</v>
      </c>
      <c r="C16" s="139" t="s">
        <v>835</v>
      </c>
      <c r="D16" s="136"/>
      <c r="E16" s="138" t="s">
        <v>774</v>
      </c>
      <c r="F16" s="138" t="s">
        <v>775</v>
      </c>
      <c r="G16" s="140" t="s">
        <v>836</v>
      </c>
    </row>
    <row r="17" spans="1:7" ht="15" customHeight="1" x14ac:dyDescent="0.3">
      <c r="A17" s="138" t="s">
        <v>198</v>
      </c>
      <c r="B17" s="138" t="s">
        <v>837</v>
      </c>
      <c r="C17" s="139" t="s">
        <v>835</v>
      </c>
      <c r="D17" s="136"/>
      <c r="E17" s="138" t="s">
        <v>776</v>
      </c>
      <c r="F17" s="138" t="s">
        <v>777</v>
      </c>
      <c r="G17" s="140" t="s">
        <v>836</v>
      </c>
    </row>
    <row r="18" spans="1:7" ht="15" customHeight="1" x14ac:dyDescent="0.3">
      <c r="A18" s="139" t="s">
        <v>835</v>
      </c>
      <c r="B18" s="139" t="s">
        <v>698</v>
      </c>
      <c r="C18" s="141"/>
      <c r="D18" s="136"/>
      <c r="E18" s="140" t="s">
        <v>836</v>
      </c>
      <c r="F18" s="140" t="s">
        <v>788</v>
      </c>
      <c r="G18" s="141"/>
    </row>
    <row r="19" spans="1:7" ht="15" customHeight="1" x14ac:dyDescent="0.3">
      <c r="A19" s="138" t="s">
        <v>200</v>
      </c>
      <c r="B19" s="138" t="s">
        <v>838</v>
      </c>
      <c r="C19" s="139" t="s">
        <v>839</v>
      </c>
      <c r="D19" s="136"/>
      <c r="E19" s="138" t="s">
        <v>778</v>
      </c>
      <c r="F19" s="138" t="s">
        <v>779</v>
      </c>
      <c r="G19" s="140" t="s">
        <v>840</v>
      </c>
    </row>
    <row r="20" spans="1:7" ht="15" customHeight="1" x14ac:dyDescent="0.3">
      <c r="A20" s="139" t="s">
        <v>839</v>
      </c>
      <c r="B20" s="139" t="s">
        <v>699</v>
      </c>
      <c r="C20" s="141"/>
      <c r="D20" s="136"/>
      <c r="E20" s="140" t="s">
        <v>840</v>
      </c>
      <c r="F20" s="140" t="s">
        <v>789</v>
      </c>
      <c r="G20" s="141"/>
    </row>
    <row r="21" spans="1:7" ht="15" customHeight="1" x14ac:dyDescent="0.3">
      <c r="A21" s="138" t="s">
        <v>202</v>
      </c>
      <c r="B21" s="138" t="s">
        <v>841</v>
      </c>
      <c r="C21" s="140" t="s">
        <v>842</v>
      </c>
      <c r="D21" s="136"/>
      <c r="E21" s="138" t="s">
        <v>780</v>
      </c>
      <c r="F21" s="138" t="s">
        <v>781</v>
      </c>
      <c r="G21" s="140" t="s">
        <v>843</v>
      </c>
    </row>
    <row r="22" spans="1:7" ht="15" customHeight="1" x14ac:dyDescent="0.3">
      <c r="A22" s="140" t="s">
        <v>842</v>
      </c>
      <c r="B22" s="140" t="s">
        <v>700</v>
      </c>
      <c r="C22" s="141"/>
      <c r="D22" s="136"/>
      <c r="E22" s="140" t="s">
        <v>843</v>
      </c>
      <c r="F22" s="140" t="s">
        <v>790</v>
      </c>
      <c r="G22" s="141"/>
    </row>
    <row r="23" spans="1:7" ht="15" customHeight="1" x14ac:dyDescent="0.3">
      <c r="A23" s="138" t="s">
        <v>691</v>
      </c>
      <c r="B23" s="138" t="s">
        <v>692</v>
      </c>
      <c r="C23" s="140" t="s">
        <v>844</v>
      </c>
      <c r="D23" s="136"/>
      <c r="E23" s="138" t="s">
        <v>168</v>
      </c>
      <c r="F23" s="138" t="s">
        <v>782</v>
      </c>
      <c r="G23" s="140" t="s">
        <v>845</v>
      </c>
    </row>
    <row r="24" spans="1:7" ht="15" customHeight="1" x14ac:dyDescent="0.3">
      <c r="A24" s="140" t="s">
        <v>844</v>
      </c>
      <c r="B24" s="140" t="s">
        <v>846</v>
      </c>
      <c r="C24" s="141"/>
      <c r="D24" s="136"/>
      <c r="E24" s="140" t="s">
        <v>845</v>
      </c>
      <c r="F24" s="140" t="s">
        <v>791</v>
      </c>
      <c r="G24" s="141"/>
    </row>
    <row r="25" spans="1:7" ht="14.4" x14ac:dyDescent="0.3">
      <c r="A25" s="138" t="s">
        <v>40</v>
      </c>
      <c r="B25" s="138" t="s">
        <v>847</v>
      </c>
      <c r="C25" s="140" t="s">
        <v>848</v>
      </c>
      <c r="D25" s="136"/>
      <c r="E25" s="138" t="s">
        <v>783</v>
      </c>
      <c r="F25" s="138" t="s">
        <v>784</v>
      </c>
      <c r="G25" s="140" t="s">
        <v>849</v>
      </c>
    </row>
    <row r="26" spans="1:7" ht="14.4" x14ac:dyDescent="0.3">
      <c r="A26" s="140" t="s">
        <v>848</v>
      </c>
      <c r="B26" s="140" t="s">
        <v>709</v>
      </c>
      <c r="C26" s="141"/>
      <c r="D26" s="136"/>
      <c r="E26" s="140" t="s">
        <v>849</v>
      </c>
      <c r="F26" s="140" t="s">
        <v>792</v>
      </c>
      <c r="G26" s="141"/>
    </row>
    <row r="27" spans="1:7" ht="14.4" x14ac:dyDescent="0.3">
      <c r="A27" s="138" t="s">
        <v>693</v>
      </c>
      <c r="B27" s="138" t="s">
        <v>694</v>
      </c>
      <c r="C27" s="140" t="s">
        <v>850</v>
      </c>
    </row>
    <row r="28" spans="1:7" ht="14.4" x14ac:dyDescent="0.3">
      <c r="A28" s="140" t="s">
        <v>850</v>
      </c>
      <c r="B28" s="140" t="s">
        <v>851</v>
      </c>
      <c r="C28" s="141"/>
    </row>
    <row r="29" spans="1:7" ht="14.4" x14ac:dyDescent="0.3">
      <c r="A29" s="138" t="s">
        <v>204</v>
      </c>
      <c r="B29" s="138" t="s">
        <v>852</v>
      </c>
      <c r="C29" s="141"/>
    </row>
  </sheetData>
  <mergeCells count="3">
    <mergeCell ref="C1:E1"/>
    <mergeCell ref="A4:C4"/>
    <mergeCell ref="E4:G4"/>
  </mergeCells>
  <pageMargins left="0.25" right="0.25" top="0.75" bottom="0.75" header="0.3" footer="0.3"/>
  <pageSetup paperSize="9" scale="8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F346-58FF-4C05-AD5A-B475FF3F2E66}">
  <dimension ref="A1:I17"/>
  <sheetViews>
    <sheetView workbookViewId="0">
      <selection sqref="A1:A17"/>
    </sheetView>
  </sheetViews>
  <sheetFormatPr defaultRowHeight="14.4" x14ac:dyDescent="0.3"/>
  <cols>
    <col min="1" max="1" width="16.77734375" bestFit="1" customWidth="1"/>
    <col min="2" max="2" width="16.44140625" bestFit="1" customWidth="1"/>
    <col min="4" max="4" width="36.77734375" bestFit="1" customWidth="1"/>
    <col min="7" max="7" width="14.21875" bestFit="1" customWidth="1"/>
    <col min="8" max="8" width="45.77734375" bestFit="1" customWidth="1"/>
    <col min="9" max="9" width="14.33203125" customWidth="1"/>
    <col min="259" max="259" width="36.77734375" bestFit="1" customWidth="1"/>
    <col min="262" max="262" width="14.21875" bestFit="1" customWidth="1"/>
    <col min="263" max="263" width="45.77734375" bestFit="1" customWidth="1"/>
    <col min="515" max="515" width="36.77734375" bestFit="1" customWidth="1"/>
    <col min="518" max="518" width="14.21875" bestFit="1" customWidth="1"/>
    <col min="519" max="519" width="45.77734375" bestFit="1" customWidth="1"/>
    <col min="771" max="771" width="36.77734375" bestFit="1" customWidth="1"/>
    <col min="774" max="774" width="14.21875" bestFit="1" customWidth="1"/>
    <col min="775" max="775" width="45.77734375" bestFit="1" customWidth="1"/>
    <col min="1027" max="1027" width="36.77734375" bestFit="1" customWidth="1"/>
    <col min="1030" max="1030" width="14.21875" bestFit="1" customWidth="1"/>
    <col min="1031" max="1031" width="45.77734375" bestFit="1" customWidth="1"/>
    <col min="1283" max="1283" width="36.77734375" bestFit="1" customWidth="1"/>
    <col min="1286" max="1286" width="14.21875" bestFit="1" customWidth="1"/>
    <col min="1287" max="1287" width="45.77734375" bestFit="1" customWidth="1"/>
    <col min="1539" max="1539" width="36.77734375" bestFit="1" customWidth="1"/>
    <col min="1542" max="1542" width="14.21875" bestFit="1" customWidth="1"/>
    <col min="1543" max="1543" width="45.77734375" bestFit="1" customWidth="1"/>
    <col min="1795" max="1795" width="36.77734375" bestFit="1" customWidth="1"/>
    <col min="1798" max="1798" width="14.21875" bestFit="1" customWidth="1"/>
    <col min="1799" max="1799" width="45.77734375" bestFit="1" customWidth="1"/>
    <col min="2051" max="2051" width="36.77734375" bestFit="1" customWidth="1"/>
    <col min="2054" max="2054" width="14.21875" bestFit="1" customWidth="1"/>
    <col min="2055" max="2055" width="45.77734375" bestFit="1" customWidth="1"/>
    <col min="2307" max="2307" width="36.77734375" bestFit="1" customWidth="1"/>
    <col min="2310" max="2310" width="14.21875" bestFit="1" customWidth="1"/>
    <col min="2311" max="2311" width="45.77734375" bestFit="1" customWidth="1"/>
    <col min="2563" max="2563" width="36.77734375" bestFit="1" customWidth="1"/>
    <col min="2566" max="2566" width="14.21875" bestFit="1" customWidth="1"/>
    <col min="2567" max="2567" width="45.77734375" bestFit="1" customWidth="1"/>
    <col min="2819" max="2819" width="36.77734375" bestFit="1" customWidth="1"/>
    <col min="2822" max="2822" width="14.21875" bestFit="1" customWidth="1"/>
    <col min="2823" max="2823" width="45.77734375" bestFit="1" customWidth="1"/>
    <col min="3075" max="3075" width="36.77734375" bestFit="1" customWidth="1"/>
    <col min="3078" max="3078" width="14.21875" bestFit="1" customWidth="1"/>
    <col min="3079" max="3079" width="45.77734375" bestFit="1" customWidth="1"/>
    <col min="3331" max="3331" width="36.77734375" bestFit="1" customWidth="1"/>
    <col min="3334" max="3334" width="14.21875" bestFit="1" customWidth="1"/>
    <col min="3335" max="3335" width="45.77734375" bestFit="1" customWidth="1"/>
    <col min="3587" max="3587" width="36.77734375" bestFit="1" customWidth="1"/>
    <col min="3590" max="3590" width="14.21875" bestFit="1" customWidth="1"/>
    <col min="3591" max="3591" width="45.77734375" bestFit="1" customWidth="1"/>
    <col min="3843" max="3843" width="36.77734375" bestFit="1" customWidth="1"/>
    <col min="3846" max="3846" width="14.21875" bestFit="1" customWidth="1"/>
    <col min="3847" max="3847" width="45.77734375" bestFit="1" customWidth="1"/>
    <col min="4099" max="4099" width="36.77734375" bestFit="1" customWidth="1"/>
    <col min="4102" max="4102" width="14.21875" bestFit="1" customWidth="1"/>
    <col min="4103" max="4103" width="45.77734375" bestFit="1" customWidth="1"/>
    <col min="4355" max="4355" width="36.77734375" bestFit="1" customWidth="1"/>
    <col min="4358" max="4358" width="14.21875" bestFit="1" customWidth="1"/>
    <col min="4359" max="4359" width="45.77734375" bestFit="1" customWidth="1"/>
    <col min="4611" max="4611" width="36.77734375" bestFit="1" customWidth="1"/>
    <col min="4614" max="4614" width="14.21875" bestFit="1" customWidth="1"/>
    <col min="4615" max="4615" width="45.77734375" bestFit="1" customWidth="1"/>
    <col min="4867" max="4867" width="36.77734375" bestFit="1" customWidth="1"/>
    <col min="4870" max="4870" width="14.21875" bestFit="1" customWidth="1"/>
    <col min="4871" max="4871" width="45.77734375" bestFit="1" customWidth="1"/>
    <col min="5123" max="5123" width="36.77734375" bestFit="1" customWidth="1"/>
    <col min="5126" max="5126" width="14.21875" bestFit="1" customWidth="1"/>
    <col min="5127" max="5127" width="45.77734375" bestFit="1" customWidth="1"/>
    <col min="5379" max="5379" width="36.77734375" bestFit="1" customWidth="1"/>
    <col min="5382" max="5382" width="14.21875" bestFit="1" customWidth="1"/>
    <col min="5383" max="5383" width="45.77734375" bestFit="1" customWidth="1"/>
    <col min="5635" max="5635" width="36.77734375" bestFit="1" customWidth="1"/>
    <col min="5638" max="5638" width="14.21875" bestFit="1" customWidth="1"/>
    <col min="5639" max="5639" width="45.77734375" bestFit="1" customWidth="1"/>
    <col min="5891" max="5891" width="36.77734375" bestFit="1" customWidth="1"/>
    <col min="5894" max="5894" width="14.21875" bestFit="1" customWidth="1"/>
    <col min="5895" max="5895" width="45.77734375" bestFit="1" customWidth="1"/>
    <col min="6147" max="6147" width="36.77734375" bestFit="1" customWidth="1"/>
    <col min="6150" max="6150" width="14.21875" bestFit="1" customWidth="1"/>
    <col min="6151" max="6151" width="45.77734375" bestFit="1" customWidth="1"/>
    <col min="6403" max="6403" width="36.77734375" bestFit="1" customWidth="1"/>
    <col min="6406" max="6406" width="14.21875" bestFit="1" customWidth="1"/>
    <col min="6407" max="6407" width="45.77734375" bestFit="1" customWidth="1"/>
    <col min="6659" max="6659" width="36.77734375" bestFit="1" customWidth="1"/>
    <col min="6662" max="6662" width="14.21875" bestFit="1" customWidth="1"/>
    <col min="6663" max="6663" width="45.77734375" bestFit="1" customWidth="1"/>
    <col min="6915" max="6915" width="36.77734375" bestFit="1" customWidth="1"/>
    <col min="6918" max="6918" width="14.21875" bestFit="1" customWidth="1"/>
    <col min="6919" max="6919" width="45.77734375" bestFit="1" customWidth="1"/>
    <col min="7171" max="7171" width="36.77734375" bestFit="1" customWidth="1"/>
    <col min="7174" max="7174" width="14.21875" bestFit="1" customWidth="1"/>
    <col min="7175" max="7175" width="45.77734375" bestFit="1" customWidth="1"/>
    <col min="7427" max="7427" width="36.77734375" bestFit="1" customWidth="1"/>
    <col min="7430" max="7430" width="14.21875" bestFit="1" customWidth="1"/>
    <col min="7431" max="7431" width="45.77734375" bestFit="1" customWidth="1"/>
    <col min="7683" max="7683" width="36.77734375" bestFit="1" customWidth="1"/>
    <col min="7686" max="7686" width="14.21875" bestFit="1" customWidth="1"/>
    <col min="7687" max="7687" width="45.77734375" bestFit="1" customWidth="1"/>
    <col min="7939" max="7939" width="36.77734375" bestFit="1" customWidth="1"/>
    <col min="7942" max="7942" width="14.21875" bestFit="1" customWidth="1"/>
    <col min="7943" max="7943" width="45.77734375" bestFit="1" customWidth="1"/>
    <col min="8195" max="8195" width="36.77734375" bestFit="1" customWidth="1"/>
    <col min="8198" max="8198" width="14.21875" bestFit="1" customWidth="1"/>
    <col min="8199" max="8199" width="45.77734375" bestFit="1" customWidth="1"/>
    <col min="8451" max="8451" width="36.77734375" bestFit="1" customWidth="1"/>
    <col min="8454" max="8454" width="14.21875" bestFit="1" customWidth="1"/>
    <col min="8455" max="8455" width="45.77734375" bestFit="1" customWidth="1"/>
    <col min="8707" max="8707" width="36.77734375" bestFit="1" customWidth="1"/>
    <col min="8710" max="8710" width="14.21875" bestFit="1" customWidth="1"/>
    <col min="8711" max="8711" width="45.77734375" bestFit="1" customWidth="1"/>
    <col min="8963" max="8963" width="36.77734375" bestFit="1" customWidth="1"/>
    <col min="8966" max="8966" width="14.21875" bestFit="1" customWidth="1"/>
    <col min="8967" max="8967" width="45.77734375" bestFit="1" customWidth="1"/>
    <col min="9219" max="9219" width="36.77734375" bestFit="1" customWidth="1"/>
    <col min="9222" max="9222" width="14.21875" bestFit="1" customWidth="1"/>
    <col min="9223" max="9223" width="45.77734375" bestFit="1" customWidth="1"/>
    <col min="9475" max="9475" width="36.77734375" bestFit="1" customWidth="1"/>
    <col min="9478" max="9478" width="14.21875" bestFit="1" customWidth="1"/>
    <col min="9479" max="9479" width="45.77734375" bestFit="1" customWidth="1"/>
    <col min="9731" max="9731" width="36.77734375" bestFit="1" customWidth="1"/>
    <col min="9734" max="9734" width="14.21875" bestFit="1" customWidth="1"/>
    <col min="9735" max="9735" width="45.77734375" bestFit="1" customWidth="1"/>
    <col min="9987" max="9987" width="36.77734375" bestFit="1" customWidth="1"/>
    <col min="9990" max="9990" width="14.21875" bestFit="1" customWidth="1"/>
    <col min="9991" max="9991" width="45.77734375" bestFit="1" customWidth="1"/>
    <col min="10243" max="10243" width="36.77734375" bestFit="1" customWidth="1"/>
    <col min="10246" max="10246" width="14.21875" bestFit="1" customWidth="1"/>
    <col min="10247" max="10247" width="45.77734375" bestFit="1" customWidth="1"/>
    <col min="10499" max="10499" width="36.77734375" bestFit="1" customWidth="1"/>
    <col min="10502" max="10502" width="14.21875" bestFit="1" customWidth="1"/>
    <col min="10503" max="10503" width="45.77734375" bestFit="1" customWidth="1"/>
    <col min="10755" max="10755" width="36.77734375" bestFit="1" customWidth="1"/>
    <col min="10758" max="10758" width="14.21875" bestFit="1" customWidth="1"/>
    <col min="10759" max="10759" width="45.77734375" bestFit="1" customWidth="1"/>
    <col min="11011" max="11011" width="36.77734375" bestFit="1" customWidth="1"/>
    <col min="11014" max="11014" width="14.21875" bestFit="1" customWidth="1"/>
    <col min="11015" max="11015" width="45.77734375" bestFit="1" customWidth="1"/>
    <col min="11267" max="11267" width="36.77734375" bestFit="1" customWidth="1"/>
    <col min="11270" max="11270" width="14.21875" bestFit="1" customWidth="1"/>
    <col min="11271" max="11271" width="45.77734375" bestFit="1" customWidth="1"/>
    <col min="11523" max="11523" width="36.77734375" bestFit="1" customWidth="1"/>
    <col min="11526" max="11526" width="14.21875" bestFit="1" customWidth="1"/>
    <col min="11527" max="11527" width="45.77734375" bestFit="1" customWidth="1"/>
    <col min="11779" max="11779" width="36.77734375" bestFit="1" customWidth="1"/>
    <col min="11782" max="11782" width="14.21875" bestFit="1" customWidth="1"/>
    <col min="11783" max="11783" width="45.77734375" bestFit="1" customWidth="1"/>
    <col min="12035" max="12035" width="36.77734375" bestFit="1" customWidth="1"/>
    <col min="12038" max="12038" width="14.21875" bestFit="1" customWidth="1"/>
    <col min="12039" max="12039" width="45.77734375" bestFit="1" customWidth="1"/>
    <col min="12291" max="12291" width="36.77734375" bestFit="1" customWidth="1"/>
    <col min="12294" max="12294" width="14.21875" bestFit="1" customWidth="1"/>
    <col min="12295" max="12295" width="45.77734375" bestFit="1" customWidth="1"/>
    <col min="12547" max="12547" width="36.77734375" bestFit="1" customWidth="1"/>
    <col min="12550" max="12550" width="14.21875" bestFit="1" customWidth="1"/>
    <col min="12551" max="12551" width="45.77734375" bestFit="1" customWidth="1"/>
    <col min="12803" max="12803" width="36.77734375" bestFit="1" customWidth="1"/>
    <col min="12806" max="12806" width="14.21875" bestFit="1" customWidth="1"/>
    <col min="12807" max="12807" width="45.77734375" bestFit="1" customWidth="1"/>
    <col min="13059" max="13059" width="36.77734375" bestFit="1" customWidth="1"/>
    <col min="13062" max="13062" width="14.21875" bestFit="1" customWidth="1"/>
    <col min="13063" max="13063" width="45.77734375" bestFit="1" customWidth="1"/>
    <col min="13315" max="13315" width="36.77734375" bestFit="1" customWidth="1"/>
    <col min="13318" max="13318" width="14.21875" bestFit="1" customWidth="1"/>
    <col min="13319" max="13319" width="45.77734375" bestFit="1" customWidth="1"/>
    <col min="13571" max="13571" width="36.77734375" bestFit="1" customWidth="1"/>
    <col min="13574" max="13574" width="14.21875" bestFit="1" customWidth="1"/>
    <col min="13575" max="13575" width="45.77734375" bestFit="1" customWidth="1"/>
    <col min="13827" max="13827" width="36.77734375" bestFit="1" customWidth="1"/>
    <col min="13830" max="13830" width="14.21875" bestFit="1" customWidth="1"/>
    <col min="13831" max="13831" width="45.77734375" bestFit="1" customWidth="1"/>
    <col min="14083" max="14083" width="36.77734375" bestFit="1" customWidth="1"/>
    <col min="14086" max="14086" width="14.21875" bestFit="1" customWidth="1"/>
    <col min="14087" max="14087" width="45.77734375" bestFit="1" customWidth="1"/>
    <col min="14339" max="14339" width="36.77734375" bestFit="1" customWidth="1"/>
    <col min="14342" max="14342" width="14.21875" bestFit="1" customWidth="1"/>
    <col min="14343" max="14343" width="45.77734375" bestFit="1" customWidth="1"/>
    <col min="14595" max="14595" width="36.77734375" bestFit="1" customWidth="1"/>
    <col min="14598" max="14598" width="14.21875" bestFit="1" customWidth="1"/>
    <col min="14599" max="14599" width="45.77734375" bestFit="1" customWidth="1"/>
    <col min="14851" max="14851" width="36.77734375" bestFit="1" customWidth="1"/>
    <col min="14854" max="14854" width="14.21875" bestFit="1" customWidth="1"/>
    <col min="14855" max="14855" width="45.77734375" bestFit="1" customWidth="1"/>
    <col min="15107" max="15107" width="36.77734375" bestFit="1" customWidth="1"/>
    <col min="15110" max="15110" width="14.21875" bestFit="1" customWidth="1"/>
    <col min="15111" max="15111" width="45.77734375" bestFit="1" customWidth="1"/>
    <col min="15363" max="15363" width="36.77734375" bestFit="1" customWidth="1"/>
    <col min="15366" max="15366" width="14.21875" bestFit="1" customWidth="1"/>
    <col min="15367" max="15367" width="45.77734375" bestFit="1" customWidth="1"/>
    <col min="15619" max="15619" width="36.77734375" bestFit="1" customWidth="1"/>
    <col min="15622" max="15622" width="14.21875" bestFit="1" customWidth="1"/>
    <col min="15623" max="15623" width="45.77734375" bestFit="1" customWidth="1"/>
    <col min="15875" max="15875" width="36.77734375" bestFit="1" customWidth="1"/>
    <col min="15878" max="15878" width="14.21875" bestFit="1" customWidth="1"/>
    <col min="15879" max="15879" width="45.77734375" bestFit="1" customWidth="1"/>
    <col min="16131" max="16131" width="36.77734375" bestFit="1" customWidth="1"/>
    <col min="16134" max="16134" width="14.21875" bestFit="1" customWidth="1"/>
    <col min="16135" max="16135" width="45.77734375" bestFit="1" customWidth="1"/>
  </cols>
  <sheetData>
    <row r="1" spans="1:9" ht="15.6" x14ac:dyDescent="0.3">
      <c r="A1" s="145" t="s">
        <v>918</v>
      </c>
      <c r="B1" s="143" t="s">
        <v>853</v>
      </c>
      <c r="C1" s="143" t="s">
        <v>854</v>
      </c>
      <c r="D1" s="143" t="s">
        <v>855</v>
      </c>
      <c r="E1" s="143" t="s">
        <v>856</v>
      </c>
      <c r="F1" s="143" t="s">
        <v>857</v>
      </c>
      <c r="G1" s="143" t="s">
        <v>858</v>
      </c>
      <c r="H1" s="144" t="s">
        <v>859</v>
      </c>
      <c r="I1" s="145" t="s">
        <v>860</v>
      </c>
    </row>
    <row r="2" spans="1:9" ht="15.6" x14ac:dyDescent="0.3">
      <c r="A2" s="159" t="s">
        <v>905</v>
      </c>
      <c r="B2" s="146" t="s">
        <v>861</v>
      </c>
      <c r="C2" s="147" t="s">
        <v>635</v>
      </c>
      <c r="D2" s="146" t="s">
        <v>862</v>
      </c>
      <c r="E2" s="146">
        <v>10000</v>
      </c>
      <c r="F2" s="146">
        <v>19999</v>
      </c>
      <c r="G2" s="146">
        <v>106000</v>
      </c>
      <c r="H2" s="146" t="s">
        <v>863</v>
      </c>
    </row>
    <row r="3" spans="1:9" ht="15.6" x14ac:dyDescent="0.3">
      <c r="A3" s="158" t="s">
        <v>906</v>
      </c>
      <c r="B3" s="146" t="s">
        <v>864</v>
      </c>
      <c r="C3" s="147" t="s">
        <v>587</v>
      </c>
      <c r="D3" s="146" t="s">
        <v>865</v>
      </c>
      <c r="E3" s="146">
        <v>20000</v>
      </c>
      <c r="F3" s="146">
        <v>39999</v>
      </c>
      <c r="G3" s="146">
        <v>106200</v>
      </c>
      <c r="H3" s="146" t="s">
        <v>866</v>
      </c>
    </row>
    <row r="4" spans="1:9" ht="15.6" x14ac:dyDescent="0.3">
      <c r="A4" s="158" t="s">
        <v>907</v>
      </c>
      <c r="B4" s="146" t="s">
        <v>867</v>
      </c>
      <c r="C4" s="147" t="s">
        <v>588</v>
      </c>
      <c r="D4" s="146" t="s">
        <v>868</v>
      </c>
      <c r="E4" s="146">
        <v>40000</v>
      </c>
      <c r="F4" s="146">
        <v>59999</v>
      </c>
      <c r="G4" s="146">
        <v>106100</v>
      </c>
      <c r="H4" s="146" t="s">
        <v>869</v>
      </c>
    </row>
    <row r="5" spans="1:9" ht="15.6" x14ac:dyDescent="0.3">
      <c r="A5" s="158" t="s">
        <v>908</v>
      </c>
      <c r="B5" s="146" t="s">
        <v>870</v>
      </c>
      <c r="C5" s="147" t="s">
        <v>589</v>
      </c>
      <c r="D5" s="146" t="s">
        <v>871</v>
      </c>
      <c r="E5" s="146">
        <v>60000</v>
      </c>
      <c r="F5" s="146">
        <v>69999</v>
      </c>
      <c r="G5" s="146">
        <v>106300</v>
      </c>
      <c r="H5" s="146" t="s">
        <v>872</v>
      </c>
    </row>
    <row r="6" spans="1:9" ht="15.6" x14ac:dyDescent="0.3">
      <c r="A6" s="158" t="s">
        <v>909</v>
      </c>
      <c r="B6" s="146" t="s">
        <v>873</v>
      </c>
      <c r="C6" s="147" t="s">
        <v>590</v>
      </c>
      <c r="D6" s="146" t="s">
        <v>874</v>
      </c>
      <c r="E6" s="146">
        <v>70000</v>
      </c>
      <c r="F6" s="146">
        <v>99999</v>
      </c>
      <c r="G6" s="146">
        <v>106400</v>
      </c>
      <c r="H6" s="146" t="s">
        <v>875</v>
      </c>
    </row>
    <row r="7" spans="1:9" ht="15.6" x14ac:dyDescent="0.3">
      <c r="A7" s="158" t="s">
        <v>910</v>
      </c>
      <c r="B7" s="146" t="s">
        <v>876</v>
      </c>
      <c r="C7" s="147" t="s">
        <v>591</v>
      </c>
      <c r="D7" s="146" t="s">
        <v>877</v>
      </c>
      <c r="E7" s="146">
        <v>100000</v>
      </c>
      <c r="F7" s="146">
        <v>109999</v>
      </c>
      <c r="G7" s="146">
        <v>106500</v>
      </c>
      <c r="H7" s="146" t="s">
        <v>878</v>
      </c>
    </row>
    <row r="8" spans="1:9" ht="15.6" x14ac:dyDescent="0.3">
      <c r="A8" s="158" t="s">
        <v>911</v>
      </c>
      <c r="B8" s="146" t="s">
        <v>879</v>
      </c>
      <c r="C8" s="147" t="s">
        <v>592</v>
      </c>
      <c r="D8" s="146" t="s">
        <v>880</v>
      </c>
      <c r="E8" s="146">
        <v>110000</v>
      </c>
      <c r="F8" s="146">
        <v>119999</v>
      </c>
      <c r="G8" s="146">
        <v>106700</v>
      </c>
      <c r="H8" s="146" t="s">
        <v>881</v>
      </c>
    </row>
    <row r="9" spans="1:9" ht="15.6" x14ac:dyDescent="0.3">
      <c r="A9" s="158" t="s">
        <v>912</v>
      </c>
      <c r="B9" s="146" t="s">
        <v>882</v>
      </c>
      <c r="C9" s="147" t="s">
        <v>593</v>
      </c>
      <c r="D9" s="146" t="s">
        <v>883</v>
      </c>
      <c r="E9" s="146">
        <v>120000</v>
      </c>
      <c r="F9" s="146">
        <v>129999</v>
      </c>
      <c r="G9" s="146">
        <v>106400</v>
      </c>
      <c r="H9" s="146" t="s">
        <v>884</v>
      </c>
    </row>
    <row r="10" spans="1:9" ht="30.6" x14ac:dyDescent="0.3">
      <c r="A10" s="158" t="s">
        <v>913</v>
      </c>
      <c r="B10" s="148" t="s">
        <v>885</v>
      </c>
      <c r="C10" s="149" t="s">
        <v>594</v>
      </c>
      <c r="D10" s="148" t="s">
        <v>886</v>
      </c>
      <c r="E10" s="150">
        <v>130000</v>
      </c>
      <c r="F10" s="150">
        <v>139999</v>
      </c>
      <c r="G10" s="151" t="s">
        <v>887</v>
      </c>
      <c r="H10" s="152" t="s">
        <v>888</v>
      </c>
    </row>
    <row r="11" spans="1:9" ht="15.6" x14ac:dyDescent="0.3">
      <c r="A11" s="158"/>
      <c r="B11" s="146"/>
      <c r="C11" s="147"/>
      <c r="D11" s="146"/>
      <c r="E11" s="146"/>
      <c r="F11" s="146"/>
      <c r="G11" s="153"/>
      <c r="H11" s="146"/>
    </row>
    <row r="12" spans="1:9" ht="28.8" x14ac:dyDescent="0.3">
      <c r="A12" s="158" t="s">
        <v>917</v>
      </c>
      <c r="B12" s="154" t="s">
        <v>889</v>
      </c>
      <c r="C12" s="155">
        <v>10</v>
      </c>
      <c r="D12" s="154" t="s">
        <v>890</v>
      </c>
      <c r="E12" s="154">
        <v>140000</v>
      </c>
      <c r="F12" s="154">
        <v>149999</v>
      </c>
      <c r="G12" s="154">
        <v>106900</v>
      </c>
      <c r="H12" s="154" t="s">
        <v>891</v>
      </c>
      <c r="I12" s="156" t="s">
        <v>892</v>
      </c>
    </row>
    <row r="13" spans="1:9" ht="15.6" x14ac:dyDescent="0.3">
      <c r="A13" s="158" t="s">
        <v>914</v>
      </c>
      <c r="B13" s="146" t="s">
        <v>893</v>
      </c>
      <c r="C13" s="157">
        <v>11</v>
      </c>
      <c r="D13" s="146" t="s">
        <v>894</v>
      </c>
      <c r="E13" s="146">
        <v>150000</v>
      </c>
      <c r="F13" s="146">
        <v>159999</v>
      </c>
      <c r="G13" s="146">
        <v>107000</v>
      </c>
      <c r="H13" s="146" t="s">
        <v>895</v>
      </c>
    </row>
    <row r="14" spans="1:9" ht="15.6" x14ac:dyDescent="0.3">
      <c r="A14" s="158" t="s">
        <v>915</v>
      </c>
      <c r="B14" s="146" t="s">
        <v>896</v>
      </c>
      <c r="C14" s="157">
        <v>12</v>
      </c>
      <c r="D14" s="146" t="s">
        <v>897</v>
      </c>
      <c r="E14" s="146">
        <v>160000</v>
      </c>
      <c r="F14" s="146">
        <v>169999</v>
      </c>
      <c r="G14" s="146">
        <v>106800</v>
      </c>
      <c r="H14" s="146" t="s">
        <v>898</v>
      </c>
    </row>
    <row r="15" spans="1:9" ht="15.6" x14ac:dyDescent="0.3">
      <c r="A15" s="158" t="s">
        <v>916</v>
      </c>
      <c r="B15" s="146" t="s">
        <v>899</v>
      </c>
      <c r="C15" s="157">
        <v>13</v>
      </c>
      <c r="D15" s="146" t="s">
        <v>900</v>
      </c>
      <c r="E15" s="146">
        <v>170000</v>
      </c>
      <c r="F15" s="146">
        <v>179999</v>
      </c>
      <c r="G15" s="146">
        <v>106600</v>
      </c>
      <c r="H15" s="146" t="s">
        <v>901</v>
      </c>
    </row>
    <row r="16" spans="1:9" ht="15.6" x14ac:dyDescent="0.3">
      <c r="A16" s="158" t="s">
        <v>902</v>
      </c>
      <c r="B16" s="146" t="s">
        <v>902</v>
      </c>
      <c r="C16" s="157">
        <v>20</v>
      </c>
      <c r="D16" s="146" t="s">
        <v>903</v>
      </c>
      <c r="E16" s="146">
        <v>200000</v>
      </c>
      <c r="F16" s="146">
        <v>201999</v>
      </c>
      <c r="G16" s="146">
        <v>106600</v>
      </c>
      <c r="H16" s="146" t="s">
        <v>901</v>
      </c>
    </row>
    <row r="17" spans="1:8" ht="15.6" x14ac:dyDescent="0.3">
      <c r="A17" s="158" t="s">
        <v>917</v>
      </c>
      <c r="B17" s="146" t="s">
        <v>904</v>
      </c>
      <c r="C17" s="157">
        <v>10</v>
      </c>
      <c r="D17" s="146" t="s">
        <v>890</v>
      </c>
      <c r="E17" s="146">
        <v>240000</v>
      </c>
      <c r="F17" s="146">
        <v>249999</v>
      </c>
      <c r="G17" s="146">
        <v>106900</v>
      </c>
      <c r="H17" s="146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Vendor Creation Format</vt:lpstr>
      <vt:lpstr>Vendor Extension Format</vt:lpstr>
      <vt:lpstr>Vendor Details</vt:lpstr>
      <vt:lpstr>TDS CONV. MASTER</vt:lpstr>
      <vt:lpstr>Vendor Series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prakash@radico.co.in;Sharmam@radico.co.in</dc:creator>
  <cp:lastModifiedBy>Mohak Sharma</cp:lastModifiedBy>
  <cp:lastPrinted>2023-08-22T11:23:46Z</cp:lastPrinted>
  <dcterms:created xsi:type="dcterms:W3CDTF">2022-06-10T16:02:07Z</dcterms:created>
  <dcterms:modified xsi:type="dcterms:W3CDTF">2026-01-27T06:39:11Z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19919-37f2-46ca-babd-75d4caf0dd3c_Enabled">
    <vt:lpwstr>true</vt:lpwstr>
  </property>
  <property fmtid="{D5CDD505-2E9C-101B-9397-08002B2CF9AE}" pid="3" name="MSIP_Label_c8e19919-37f2-46ca-babd-75d4caf0dd3c_SetDate">
    <vt:lpwstr>2024-07-29T11:00:21Z</vt:lpwstr>
  </property>
  <property fmtid="{D5CDD505-2E9C-101B-9397-08002B2CF9AE}" pid="4" name="MSIP_Label_c8e19919-37f2-46ca-babd-75d4caf0dd3c_Method">
    <vt:lpwstr>Privileged</vt:lpwstr>
  </property>
  <property fmtid="{D5CDD505-2E9C-101B-9397-08002B2CF9AE}" pid="5" name="MSIP_Label_c8e19919-37f2-46ca-babd-75d4caf0dd3c_Name">
    <vt:lpwstr>Global</vt:lpwstr>
  </property>
  <property fmtid="{D5CDD505-2E9C-101B-9397-08002B2CF9AE}" pid="6" name="MSIP_Label_c8e19919-37f2-46ca-babd-75d4caf0dd3c_SiteId">
    <vt:lpwstr>c4eced1a-ad7d-4e8b-9166-12c21b365d30</vt:lpwstr>
  </property>
  <property fmtid="{D5CDD505-2E9C-101B-9397-08002B2CF9AE}" pid="7" name="MSIP_Label_c8e19919-37f2-46ca-babd-75d4caf0dd3c_ActionId">
    <vt:lpwstr>00385ab2-5c04-4bf6-8f9e-b6e64d5ff4f4</vt:lpwstr>
  </property>
  <property fmtid="{D5CDD505-2E9C-101B-9397-08002B2CF9AE}" pid="8" name="MSIP_Label_c8e19919-37f2-46ca-babd-75d4caf0dd3c_ContentBits">
    <vt:lpwstr>0</vt:lpwstr>
  </property>
</Properties>
</file>